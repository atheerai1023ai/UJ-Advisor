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Eval_50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'Decision_Eval_50'!$A$1:$W$51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8FBF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6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3E5F5"/>
        </patternFill>
      </fill>
    </dxf>
    <dxf>
      <fill>
        <patternFill patternType="solid">
          <fgColor rgb="00E3F2FD"/>
        </patternFill>
      </fill>
    </dxf>
    <dxf>
      <fill>
        <patternFill patternType="solid">
          <fgColor rgb="00DFF0D8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45" customWidth="1" min="4" max="4"/>
    <col width="55" customWidth="1" min="5" max="5"/>
    <col width="12" customWidth="1" min="6" max="6"/>
    <col width="18" customWidth="1" min="7" max="7"/>
    <col width="22" customWidth="1" min="8" max="8"/>
    <col width="20" customWidth="1" min="9" max="9"/>
    <col width="35" customWidth="1" min="10" max="10"/>
    <col width="18" customWidth="1" min="11" max="11"/>
    <col width="15" customWidth="1" min="12" max="12"/>
    <col width="16" customWidth="1" min="13" max="13"/>
    <col width="42" customWidth="1" min="14" max="14"/>
    <col width="38" customWidth="1" min="15" max="15"/>
    <col width="32" customWidth="1" min="16" max="16"/>
    <col width="18" customWidth="1" min="17" max="17"/>
    <col width="25" customWidth="1" min="18" max="18"/>
    <col width="28" customWidth="1" min="19" max="19"/>
    <col width="42" customWidth="1" min="20" max="20"/>
    <col width="16" customWidth="1" min="21" max="21"/>
    <col width="18" customWidth="1" min="22" max="22"/>
    <col width="22" customWidth="1" min="23" max="23"/>
  </cols>
  <sheetData>
    <row r="1" ht="38" customHeight="1">
      <c r="A1" s="1" t="inlineStr">
        <is>
          <t>eval_id</t>
        </is>
      </c>
      <c r="B1" s="1" t="inlineStr">
        <is>
          <t>origin</t>
        </is>
      </c>
      <c r="C1" s="1" t="inlineStr">
        <is>
          <t>original_id</t>
        </is>
      </c>
      <c r="D1" s="1" t="inlineStr">
        <is>
          <t>question</t>
        </is>
      </c>
      <c r="E1" s="1" t="inlineStr">
        <is>
          <t>gold_answer</t>
        </is>
      </c>
      <c r="F1" s="1" t="inlineStr">
        <is>
          <t>difficulty</t>
        </is>
      </c>
      <c r="G1" s="1" t="inlineStr">
        <is>
          <t>expected_mode</t>
        </is>
      </c>
      <c r="H1" s="1" t="inlineStr">
        <is>
          <t>expected_primary_tool</t>
        </is>
      </c>
      <c r="I1" s="1" t="inlineStr">
        <is>
          <t>expected_secondary_tools</t>
        </is>
      </c>
      <c r="J1" s="1" t="inlineStr">
        <is>
          <t>expected_sources_or_tables</t>
        </is>
      </c>
      <c r="K1" s="1" t="inlineStr">
        <is>
          <t>expected_need_retrieval</t>
        </is>
      </c>
      <c r="L1" s="1" t="inlineStr">
        <is>
          <t>expected_need_sql</t>
        </is>
      </c>
      <c r="M1" s="1" t="inlineStr">
        <is>
          <t>expected_need_model</t>
        </is>
      </c>
      <c r="N1" s="1" t="inlineStr">
        <is>
          <t>expected_decision_focus</t>
        </is>
      </c>
      <c r="O1" s="1" t="inlineStr">
        <is>
          <t>source_hint</t>
        </is>
      </c>
      <c r="P1" s="1" t="inlineStr">
        <is>
          <t>notes</t>
        </is>
      </c>
      <c r="Q1" s="1" t="inlineStr">
        <is>
          <t>predicted_mode</t>
        </is>
      </c>
      <c r="R1" s="1" t="inlineStr">
        <is>
          <t>predicted_tools</t>
        </is>
      </c>
      <c r="S1" s="1" t="inlineStr">
        <is>
          <t>predicted_sources</t>
        </is>
      </c>
      <c r="T1" s="1" t="inlineStr">
        <is>
          <t>final_answer</t>
        </is>
      </c>
      <c r="U1" s="1" t="inlineStr">
        <is>
          <t>decision_correct</t>
        </is>
      </c>
      <c r="V1" s="1" t="inlineStr">
        <is>
          <t>answer_quality_score</t>
        </is>
      </c>
      <c r="W1" s="1" t="inlineStr">
        <is>
          <t>error_type</t>
        </is>
      </c>
    </row>
    <row r="2" ht="72" customHeight="1">
      <c r="A2" s="2" t="inlineStr">
        <is>
          <t>D001</t>
        </is>
      </c>
      <c r="B2" s="2" t="inlineStr">
        <is>
          <t>sampled_from_UJ_100_RAG</t>
        </is>
      </c>
      <c r="C2" s="2" t="inlineStr">
        <is>
          <t>Q071</t>
        </is>
      </c>
      <c r="D2" s="2" t="inlineStr">
        <is>
          <t>متى تبدأ ومتى تنتهي فعالية: فترة التسجيل للطلاب والطالبات والمرشدين الأكاديميين؟</t>
        </is>
      </c>
      <c r="E2" s="2" t="inlineStr">
        <is>
          <t>تبدأ فعالية فترة التسجيل للطلاب والطالبات والمرشدين الأكاديميين في 2026-01-11 وتنتهي في 2026-01-17.</t>
        </is>
      </c>
      <c r="F2" s="2" t="inlineStr">
        <is>
          <t>easy</t>
        </is>
      </c>
      <c r="G2" s="2" t="inlineStr">
        <is>
          <t>RAG_ONLY</t>
        </is>
      </c>
      <c r="H2" s="2" t="inlineStr">
        <is>
          <t>RAG / KB retrieval</t>
        </is>
      </c>
      <c r="I2" s="2" t="inlineStr"/>
      <c r="J2" s="2" t="inlineStr">
        <is>
          <t>academic_calendar</t>
        </is>
      </c>
      <c r="K2" s="2" t="n">
        <v>1</v>
      </c>
      <c r="L2" s="2" t="n">
        <v>0</v>
      </c>
      <c r="M2" s="2" t="n">
        <v>0</v>
      </c>
      <c r="N2" s="2" t="inlineStr">
        <is>
          <t>Retrieve from KB collection and answer from evidence</t>
        </is>
      </c>
      <c r="O2" s="2" t="inlineStr">
        <is>
          <t>academic_calendar.csv</t>
        </is>
      </c>
      <c r="P2" s="2" t="inlineStr">
        <is>
          <t>Original KB/RAG question from uploaded 100-question dataset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 ht="72" customHeight="1">
      <c r="A3" s="3" t="inlineStr">
        <is>
          <t>D002</t>
        </is>
      </c>
      <c r="B3" s="3" t="inlineStr">
        <is>
          <t>sampled_from_UJ_100_RAG</t>
        </is>
      </c>
      <c r="C3" s="3" t="inlineStr">
        <is>
          <t>Q072</t>
        </is>
      </c>
      <c r="D3" s="3" t="inlineStr">
        <is>
          <t>متى تبدأ ومتى تنتهي فعالية: الفترة النهائية للتسجيل من قبل الوكلاء أو الشؤون التعليمية؟</t>
        </is>
      </c>
      <c r="E3" s="3" t="inlineStr">
        <is>
          <t>تبدأ فعالية الفترة النهائية للتسجيل من قبل الوكلاء أو الشؤون التعليمية في 2026-01-11 وتنتهي في 2026-01-20.</t>
        </is>
      </c>
      <c r="F3" s="3" t="inlineStr">
        <is>
          <t>easy</t>
        </is>
      </c>
      <c r="G3" s="3" t="inlineStr">
        <is>
          <t>RAG_ONLY</t>
        </is>
      </c>
      <c r="H3" s="3" t="inlineStr">
        <is>
          <t>RAG / KB retrieval</t>
        </is>
      </c>
      <c r="I3" s="3" t="inlineStr"/>
      <c r="J3" s="3" t="inlineStr">
        <is>
          <t>academic_calendar</t>
        </is>
      </c>
      <c r="K3" s="3" t="n">
        <v>1</v>
      </c>
      <c r="L3" s="3" t="n">
        <v>0</v>
      </c>
      <c r="M3" s="3" t="n">
        <v>0</v>
      </c>
      <c r="N3" s="3" t="inlineStr">
        <is>
          <t>Retrieve from KB collection and answer from evidence</t>
        </is>
      </c>
      <c r="O3" s="3" t="inlineStr">
        <is>
          <t>academic_calendar.csv</t>
        </is>
      </c>
      <c r="P3" s="3" t="inlineStr">
        <is>
          <t>Original KB/RAG question from uploaded 100-question dataset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 ht="72" customHeight="1">
      <c r="A4" s="2" t="inlineStr">
        <is>
          <t>D003</t>
        </is>
      </c>
      <c r="B4" s="2" t="inlineStr">
        <is>
          <t>sampled_from_UJ_100_RAG</t>
        </is>
      </c>
      <c r="C4" s="2" t="inlineStr">
        <is>
          <t>Q051</t>
        </is>
      </c>
      <c r="D4" s="2" t="inlineStr">
        <is>
          <t>ما وصف نادي Drone Club UJ وما مجاله؟</t>
        </is>
      </c>
      <c r="E4" s="2" t="inlineStr">
        <is>
          <t>Drone Club UJ هو نادي في مجال Technology / Engineering، ووصفه: نادي الدرونز في جامعة جدة. يقدم التدريب والتوعية والتطوير في مجال الطائرات بدون طيار.</t>
        </is>
      </c>
      <c r="F4" s="2" t="inlineStr">
        <is>
          <t>easy</t>
        </is>
      </c>
      <c r="G4" s="2" t="inlineStr">
        <is>
          <t>RAG_ONLY</t>
        </is>
      </c>
      <c r="H4" s="2" t="inlineStr">
        <is>
          <t>RAG / KB retrieval</t>
        </is>
      </c>
      <c r="I4" s="2" t="inlineStr"/>
      <c r="J4" s="2" t="inlineStr">
        <is>
          <t>clubs</t>
        </is>
      </c>
      <c r="K4" s="2" t="n">
        <v>1</v>
      </c>
      <c r="L4" s="2" t="n">
        <v>0</v>
      </c>
      <c r="M4" s="2" t="n">
        <v>0</v>
      </c>
      <c r="N4" s="2" t="inlineStr">
        <is>
          <t>Retrieve from KB collection and answer from evidence</t>
        </is>
      </c>
      <c r="O4" s="2" t="inlineStr">
        <is>
          <t>clubs.json</t>
        </is>
      </c>
      <c r="P4" s="2" t="inlineStr">
        <is>
          <t>Original KB/RAG question from uploaded 100-question dataset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 ht="72" customHeight="1">
      <c r="A5" s="3" t="inlineStr">
        <is>
          <t>D004</t>
        </is>
      </c>
      <c r="B5" s="3" t="inlineStr">
        <is>
          <t>sampled_from_UJ_100_RAG</t>
        </is>
      </c>
      <c r="C5" s="3" t="inlineStr">
        <is>
          <t>Q052</t>
        </is>
      </c>
      <c r="D5" s="3" t="inlineStr">
        <is>
          <t>ما وصف نادي AI Club UJ وما مجاله؟</t>
        </is>
      </c>
      <c r="E5" s="3" t="inlineStr">
        <is>
          <t>AI Club UJ هو نادي في مجال Artificial Intelligence / Technology، ووصفه: نرحب بجميع أصدقائنا في نادي الذكاء الاصطناعي بجامعة جدة. رؤيتنا هي أن يكون النادي وجهة مفضلة للطلاب الباحثين للتعلم والنمو وتبادل الأفكار حول الذكاء الاصطناعي.</t>
        </is>
      </c>
      <c r="F5" s="3" t="inlineStr">
        <is>
          <t>easy</t>
        </is>
      </c>
      <c r="G5" s="3" t="inlineStr">
        <is>
          <t>RAG_ONLY</t>
        </is>
      </c>
      <c r="H5" s="3" t="inlineStr">
        <is>
          <t>RAG / KB retrieval</t>
        </is>
      </c>
      <c r="I5" s="3" t="inlineStr"/>
      <c r="J5" s="3" t="inlineStr">
        <is>
          <t>clubs</t>
        </is>
      </c>
      <c r="K5" s="3" t="n">
        <v>1</v>
      </c>
      <c r="L5" s="3" t="n">
        <v>0</v>
      </c>
      <c r="M5" s="3" t="n">
        <v>0</v>
      </c>
      <c r="N5" s="3" t="inlineStr">
        <is>
          <t>Retrieve from KB collection and answer from evidence</t>
        </is>
      </c>
      <c r="O5" s="3" t="inlineStr">
        <is>
          <t>clubs.json</t>
        </is>
      </c>
      <c r="P5" s="3" t="inlineStr">
        <is>
          <t>Original KB/RAG question from uploaded 100-question dataset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 ht="72" customHeight="1">
      <c r="A6" s="2" t="inlineStr">
        <is>
          <t>D005</t>
        </is>
      </c>
      <c r="B6" s="2" t="inlineStr">
        <is>
          <t>sampled_from_UJ_100_RAG</t>
        </is>
      </c>
      <c r="C6" s="2" t="inlineStr">
        <is>
          <t>Q061</t>
        </is>
      </c>
      <c r="D6" s="2" t="inlineStr">
        <is>
          <t>كيف قيّم الطلاب تجربة التدريب في جهة امانة جده؟</t>
        </is>
      </c>
      <c r="E6" s="2" t="inlineStr">
        <is>
          <t>قيّم الطلاب تجربة التدريب في امانة جده بأنها: مفيدة جدا كان الشغل خفيف لكن مفيد و استفدت بخبرات جديده الشركة وفرت لنا دورات كل اسبوع للافادة</t>
        </is>
      </c>
      <c r="F6" s="2" t="inlineStr">
        <is>
          <t>medium</t>
        </is>
      </c>
      <c r="G6" s="2" t="inlineStr">
        <is>
          <t>RAG_ONLY</t>
        </is>
      </c>
      <c r="H6" s="2" t="inlineStr">
        <is>
          <t>RAG / KB retrieval</t>
        </is>
      </c>
      <c r="I6" s="2" t="inlineStr"/>
      <c r="J6" s="2" t="inlineStr">
        <is>
          <t>coop_replies</t>
        </is>
      </c>
      <c r="K6" s="2" t="n">
        <v>1</v>
      </c>
      <c r="L6" s="2" t="n">
        <v>0</v>
      </c>
      <c r="M6" s="2" t="n">
        <v>0</v>
      </c>
      <c r="N6" s="2" t="inlineStr">
        <is>
          <t>Retrieve from KB collection and answer from evidence</t>
        </is>
      </c>
      <c r="O6" s="2" t="inlineStr">
        <is>
          <t>COOPreplies.csv</t>
        </is>
      </c>
      <c r="P6" s="2" t="inlineStr">
        <is>
          <t>Original KB/RAG question from uploaded 100-question dataset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 ht="72" customHeight="1">
      <c r="A7" s="3" t="inlineStr">
        <is>
          <t>D006</t>
        </is>
      </c>
      <c r="B7" s="3" t="inlineStr">
        <is>
          <t>sampled_from_UJ_100_RAG</t>
        </is>
      </c>
      <c r="C7" s="3" t="inlineStr">
        <is>
          <t>Q062</t>
        </is>
      </c>
      <c r="D7" s="3" t="inlineStr">
        <is>
          <t>كيف قيّم الطلاب تجربة التدريب في جهة شركة محمد يوسف ناغي للسيارات؟</t>
        </is>
      </c>
      <c r="E7" s="3" t="inlineStr">
        <is>
          <t>قيّم الطلاب تجربة التدريب في شركة محمد يوسف ناغي للسيارات بأنها: الشغل كان قليل والدوام كان سلسل بيئة العمل كانت محترمه و متعاونة اشتغل علي ٣ مشاريع شات بوت و ٢ نموذج تصنيف واحد tickets لقسم IT و survey</t>
        </is>
      </c>
      <c r="F7" s="3" t="inlineStr">
        <is>
          <t>medium</t>
        </is>
      </c>
      <c r="G7" s="3" t="inlineStr">
        <is>
          <t>RAG_ONLY</t>
        </is>
      </c>
      <c r="H7" s="3" t="inlineStr">
        <is>
          <t>RAG / KB retrieval</t>
        </is>
      </c>
      <c r="I7" s="3" t="inlineStr"/>
      <c r="J7" s="3" t="inlineStr">
        <is>
          <t>coop_replies</t>
        </is>
      </c>
      <c r="K7" s="3" t="n">
        <v>1</v>
      </c>
      <c r="L7" s="3" t="n">
        <v>0</v>
      </c>
      <c r="M7" s="3" t="n">
        <v>0</v>
      </c>
      <c r="N7" s="3" t="inlineStr">
        <is>
          <t>Retrieve from KB collection and answer from evidence</t>
        </is>
      </c>
      <c r="O7" s="3" t="inlineStr">
        <is>
          <t>COOPreplies.csv</t>
        </is>
      </c>
      <c r="P7" s="3" t="inlineStr">
        <is>
          <t>Original KB/RAG question from uploaded 100-question dataset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 ht="72" customHeight="1">
      <c r="A8" s="2" t="inlineStr">
        <is>
          <t>D007</t>
        </is>
      </c>
      <c r="B8" s="2" t="inlineStr">
        <is>
          <t>sampled_from_UJ_100_RAG</t>
        </is>
      </c>
      <c r="C8" s="2" t="inlineStr">
        <is>
          <t>Q021</t>
        </is>
      </c>
      <c r="D8" s="2" t="inlineStr">
        <is>
          <t>كم إجمالي الساعات المعتمدة في برنامج الذكاء الاصطناعي؟</t>
        </is>
      </c>
      <c r="E8" s="2" t="inlineStr">
        <is>
          <t>إجمالي الساعات المعتمدة في برنامج الذكاء الاصطناعي هو 164 ساعة.</t>
        </is>
      </c>
      <c r="F8" s="2" t="inlineStr">
        <is>
          <t>easy</t>
        </is>
      </c>
      <c r="G8" s="2" t="inlineStr">
        <is>
          <t>RAG_ONLY</t>
        </is>
      </c>
      <c r="H8" s="2" t="inlineStr">
        <is>
          <t>RAG / KB retrieval</t>
        </is>
      </c>
      <c r="I8" s="2" t="inlineStr"/>
      <c r="J8" s="2" t="inlineStr">
        <is>
          <t>degree_plans</t>
        </is>
      </c>
      <c r="K8" s="2" t="n">
        <v>1</v>
      </c>
      <c r="L8" s="2" t="n">
        <v>0</v>
      </c>
      <c r="M8" s="2" t="n">
        <v>0</v>
      </c>
      <c r="N8" s="2" t="inlineStr">
        <is>
          <t>Retrieve from KB collection and answer from evidence</t>
        </is>
      </c>
      <c r="O8" s="2" t="inlineStr">
        <is>
          <t>الذكاء الاصطناعي normalized</t>
        </is>
      </c>
      <c r="P8" s="2" t="inlineStr">
        <is>
          <t>Original KB/RAG question from uploaded 100-question dataset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 ht="72" customHeight="1">
      <c r="A9" s="3" t="inlineStr">
        <is>
          <t>D008</t>
        </is>
      </c>
      <c r="B9" s="3" t="inlineStr">
        <is>
          <t>sampled_from_UJ_100_RAG</t>
        </is>
      </c>
      <c r="C9" s="3" t="inlineStr">
        <is>
          <t>Q022</t>
        </is>
      </c>
      <c r="D9" s="3" t="inlineStr">
        <is>
          <t>ما أول مقررات المستوى الأول في برنامج الذكاء الاصطناعي؟</t>
        </is>
      </c>
      <c r="E9" s="3" t="inlineStr">
        <is>
          <t>أول مقررات المستوى الأول في برنامج الذكاء الاصطناعي هي: CECS 100 المهارات الرقمية، CECS 110 مهارات في برمجة، ELPR 130 اللغة الإنجليزية-1، SCMT 102 ثقافة وإسلام-1، SCPH 101 فيزياء عامة -1.</t>
        </is>
      </c>
      <c r="F9" s="3" t="inlineStr">
        <is>
          <t>easy</t>
        </is>
      </c>
      <c r="G9" s="3" t="inlineStr">
        <is>
          <t>RAG_ONLY</t>
        </is>
      </c>
      <c r="H9" s="3" t="inlineStr">
        <is>
          <t>RAG / KB retrieval</t>
        </is>
      </c>
      <c r="I9" s="3" t="inlineStr"/>
      <c r="J9" s="3" t="inlineStr">
        <is>
          <t>degree_plans</t>
        </is>
      </c>
      <c r="K9" s="3" t="n">
        <v>1</v>
      </c>
      <c r="L9" s="3" t="n">
        <v>0</v>
      </c>
      <c r="M9" s="3" t="n">
        <v>0</v>
      </c>
      <c r="N9" s="3" t="inlineStr">
        <is>
          <t>Retrieve from KB collection and answer from evidence</t>
        </is>
      </c>
      <c r="O9" s="3" t="inlineStr">
        <is>
          <t>الذكاء الاصطناعي normalized</t>
        </is>
      </c>
      <c r="P9" s="3" t="inlineStr">
        <is>
          <t>Original KB/RAG question from uploaded 100-question dataset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 ht="72" customHeight="1">
      <c r="A10" s="2" t="inlineStr">
        <is>
          <t>D009</t>
        </is>
      </c>
      <c r="B10" s="2" t="inlineStr">
        <is>
          <t>sampled_from_UJ_100_RAG</t>
        </is>
      </c>
      <c r="C10" s="2" t="inlineStr">
        <is>
          <t>Q031</t>
        </is>
      </c>
      <c r="D10" s="2" t="inlineStr">
        <is>
          <t>ما المتطلبات السابقة لمقرر نظم التوصية (CEAI 431)؟</t>
        </is>
      </c>
      <c r="E10" s="2" t="inlineStr">
        <is>
          <t>المتطلبات السابقة لمقرر نظم التوصية (CEAI 431) هي: CEAI 321.</t>
        </is>
      </c>
      <c r="F10" s="2" t="inlineStr">
        <is>
          <t>medium</t>
        </is>
      </c>
      <c r="G10" s="2" t="inlineStr">
        <is>
          <t>RAG_ONLY</t>
        </is>
      </c>
      <c r="H10" s="2" t="inlineStr">
        <is>
          <t>RAG / KB retrieval</t>
        </is>
      </c>
      <c r="I10" s="2" t="inlineStr"/>
      <c r="J10" s="2" t="inlineStr">
        <is>
          <t>electives</t>
        </is>
      </c>
      <c r="K10" s="2" t="n">
        <v>1</v>
      </c>
      <c r="L10" s="2" t="n">
        <v>0</v>
      </c>
      <c r="M10" s="2" t="n">
        <v>0</v>
      </c>
      <c r="N10" s="2" t="inlineStr">
        <is>
          <t>Retrieve from KB collection and answer from evidence</t>
        </is>
      </c>
      <c r="O10" s="2" t="inlineStr">
        <is>
          <t>AI_Elective_Courses</t>
        </is>
      </c>
      <c r="P10" s="2" t="inlineStr">
        <is>
          <t>Original KB/RAG question from uploaded 100-question dataset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 ht="72" customHeight="1">
      <c r="A11" s="3" t="inlineStr">
        <is>
          <t>D010</t>
        </is>
      </c>
      <c r="B11" s="3" t="inlineStr">
        <is>
          <t>sampled_from_UJ_100_RAG</t>
        </is>
      </c>
      <c r="C11" s="3" t="inlineStr">
        <is>
          <t>Q032</t>
        </is>
      </c>
      <c r="D11" s="3" t="inlineStr">
        <is>
          <t>ما المتطلبات السابقة لمقرر تمثيل المعرفة والاستدلال (CEAI 432)؟</t>
        </is>
      </c>
      <c r="E11" s="3" t="inlineStr">
        <is>
          <t>المتطلبات السابقة لمقرر تمثيل المعرفة والاستدلال (CEAI 432) هي: CEAI 221.</t>
        </is>
      </c>
      <c r="F11" s="3" t="inlineStr">
        <is>
          <t>medium</t>
        </is>
      </c>
      <c r="G11" s="3" t="inlineStr">
        <is>
          <t>RAG_ONLY</t>
        </is>
      </c>
      <c r="H11" s="3" t="inlineStr">
        <is>
          <t>RAG / KB retrieval</t>
        </is>
      </c>
      <c r="I11" s="3" t="inlineStr"/>
      <c r="J11" s="3" t="inlineStr">
        <is>
          <t>electives</t>
        </is>
      </c>
      <c r="K11" s="3" t="n">
        <v>1</v>
      </c>
      <c r="L11" s="3" t="n">
        <v>0</v>
      </c>
      <c r="M11" s="3" t="n">
        <v>0</v>
      </c>
      <c r="N11" s="3" t="inlineStr">
        <is>
          <t>Retrieve from KB collection and answer from evidence</t>
        </is>
      </c>
      <c r="O11" s="3" t="inlineStr">
        <is>
          <t>AI_Elective_Courses</t>
        </is>
      </c>
      <c r="P11" s="3" t="inlineStr">
        <is>
          <t>Original KB/RAG question from uploaded 100-question dataset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 ht="72" customHeight="1">
      <c r="A12" s="2" t="inlineStr">
        <is>
          <t>D011</t>
        </is>
      </c>
      <c r="B12" s="2" t="inlineStr">
        <is>
          <t>sampled_from_UJ_100_RAG</t>
        </is>
      </c>
      <c r="C12" s="2" t="inlineStr">
        <is>
          <t>Q091</t>
        </is>
      </c>
      <c r="D12" s="2" t="inlineStr">
        <is>
          <t>ما رقم مكتب الدكتورة سامية السفري وكيف يمكن التواصل معها؟</t>
        </is>
      </c>
      <c r="E12" s="2" t="inlineStr">
        <is>
          <t>رقم مكتب الدكتورة سامية السفري هو 17، ويمكن التواصل معها عبر ssalsefri@uj.edu.sa.</t>
        </is>
      </c>
      <c r="F12" s="2" t="inlineStr">
        <is>
          <t>easy</t>
        </is>
      </c>
      <c r="G12" s="2" t="inlineStr">
        <is>
          <t>RAG_ONLY</t>
        </is>
      </c>
      <c r="H12" s="2" t="inlineStr">
        <is>
          <t>RAG / KB retrieval</t>
        </is>
      </c>
      <c r="I12" s="2" t="inlineStr"/>
      <c r="J12" s="2" t="inlineStr">
        <is>
          <t>faculty_offices</t>
        </is>
      </c>
      <c r="K12" s="2" t="n">
        <v>1</v>
      </c>
      <c r="L12" s="2" t="n">
        <v>0</v>
      </c>
      <c r="M12" s="2" t="n">
        <v>0</v>
      </c>
      <c r="N12" s="2" t="inlineStr">
        <is>
          <t>Retrieve from KB collection and answer from evidence</t>
        </is>
      </c>
      <c r="O12" s="2" t="inlineStr">
        <is>
          <t>faculty offices csv</t>
        </is>
      </c>
      <c r="P12" s="2" t="inlineStr">
        <is>
          <t>Original KB/RAG question from uploaded 100-question dataset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</row>
    <row r="13" ht="72" customHeight="1">
      <c r="A13" s="3" t="inlineStr">
        <is>
          <t>D012</t>
        </is>
      </c>
      <c r="B13" s="3" t="inlineStr">
        <is>
          <t>sampled_from_UJ_100_RAG</t>
        </is>
      </c>
      <c r="C13" s="3" t="inlineStr">
        <is>
          <t>Q092</t>
        </is>
      </c>
      <c r="D13" s="3" t="inlineStr">
        <is>
          <t>ما رقم مكتب الدكتورة ملاك الحربي وكيف يمكن التواصل معها؟</t>
        </is>
      </c>
      <c r="E13" s="3" t="inlineStr">
        <is>
          <t>رقم مكتب الدكتورة ملاك الحربي هو 121، ويمكن التواصل معها عبر malharbi3@uj.edu.sa.</t>
        </is>
      </c>
      <c r="F13" s="3" t="inlineStr">
        <is>
          <t>easy</t>
        </is>
      </c>
      <c r="G13" s="3" t="inlineStr">
        <is>
          <t>RAG_ONLY</t>
        </is>
      </c>
      <c r="H13" s="3" t="inlineStr">
        <is>
          <t>RAG / KB retrieval</t>
        </is>
      </c>
      <c r="I13" s="3" t="inlineStr"/>
      <c r="J13" s="3" t="inlineStr">
        <is>
          <t>faculty_offices</t>
        </is>
      </c>
      <c r="K13" s="3" t="n">
        <v>1</v>
      </c>
      <c r="L13" s="3" t="n">
        <v>0</v>
      </c>
      <c r="M13" s="3" t="n">
        <v>0</v>
      </c>
      <c r="N13" s="3" t="inlineStr">
        <is>
          <t>Retrieve from KB collection and answer from evidence</t>
        </is>
      </c>
      <c r="O13" s="3" t="inlineStr">
        <is>
          <t>faculty offices csv</t>
        </is>
      </c>
      <c r="P13" s="3" t="inlineStr">
        <is>
          <t>Original KB/RAG question from uploaded 100-question dataset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 ht="72" customHeight="1">
      <c r="A14" s="2" t="inlineStr">
        <is>
          <t>D013</t>
        </is>
      </c>
      <c r="B14" s="2" t="inlineStr">
        <is>
          <t>sampled_from_UJ_100_RAG</t>
        </is>
      </c>
      <c r="C14" s="2" t="inlineStr">
        <is>
          <t>Q001</t>
        </is>
      </c>
      <c r="D14" s="2" t="inlineStr">
        <is>
          <t>ما تعريف الخطة الدراسية حسب اللوائح؟</t>
        </is>
      </c>
      <c r="E14" s="2" t="inlineStr">
        <is>
          <t>هي مجموعة المقررات الدراسية الإجبارية والاختيارية والحرة، والتي يشكل مجموع وحداتها متطلبات التخرج التي يجب على الطالب اجتيازها بنجاح للحصول على الدرجة العلمية في التخصص المحدد.</t>
        </is>
      </c>
      <c r="F14" s="2" t="inlineStr">
        <is>
          <t>easy</t>
        </is>
      </c>
      <c r="G14" s="2" t="inlineStr">
        <is>
          <t>RAG_ONLY</t>
        </is>
      </c>
      <c r="H14" s="2" t="inlineStr">
        <is>
          <t>RAG / KB retrieval</t>
        </is>
      </c>
      <c r="I14" s="2" t="inlineStr"/>
      <c r="J14" s="2" t="inlineStr">
        <is>
          <t>regulations</t>
        </is>
      </c>
      <c r="K14" s="2" t="n">
        <v>1</v>
      </c>
      <c r="L14" s="2" t="n">
        <v>0</v>
      </c>
      <c r="M14" s="2" t="n">
        <v>0</v>
      </c>
      <c r="N14" s="2" t="inlineStr">
        <is>
          <t>Retrieve from KB collection and answer from evidence</t>
        </is>
      </c>
      <c r="O14" s="2" t="inlineStr">
        <is>
          <t>STUDENT_RULES definitions</t>
        </is>
      </c>
      <c r="P14" s="2" t="inlineStr">
        <is>
          <t>Original KB/RAG question from uploaded 100-question dataset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 ht="72" customHeight="1">
      <c r="A15" s="3" t="inlineStr">
        <is>
          <t>D014</t>
        </is>
      </c>
      <c r="B15" s="3" t="inlineStr">
        <is>
          <t>sampled_from_UJ_100_RAG</t>
        </is>
      </c>
      <c r="C15" s="3" t="inlineStr">
        <is>
          <t>Q002</t>
        </is>
      </c>
      <c r="D15" s="3" t="inlineStr">
        <is>
          <t>ما المقصود بالمقرر الدراسي في اللائحة؟</t>
        </is>
      </c>
      <c r="E15" s="3" t="inlineStr">
        <is>
          <t>هو مادة دراسية ضمن الخطة الدراسية المعتمدة في كل برنامج، ويكون لكل مقرر رقم ورمز واسم ووصف مفصل يميزه من حيث المحتوى والمستوى عما سواه من المقررات.</t>
        </is>
      </c>
      <c r="F15" s="3" t="inlineStr">
        <is>
          <t>easy</t>
        </is>
      </c>
      <c r="G15" s="3" t="inlineStr">
        <is>
          <t>RAG_ONLY</t>
        </is>
      </c>
      <c r="H15" s="3" t="inlineStr">
        <is>
          <t>RAG / KB retrieval</t>
        </is>
      </c>
      <c r="I15" s="3" t="inlineStr"/>
      <c r="J15" s="3" t="inlineStr">
        <is>
          <t>regulations</t>
        </is>
      </c>
      <c r="K15" s="3" t="n">
        <v>1</v>
      </c>
      <c r="L15" s="3" t="n">
        <v>0</v>
      </c>
      <c r="M15" s="3" t="n">
        <v>0</v>
      </c>
      <c r="N15" s="3" t="inlineStr">
        <is>
          <t>Retrieve from KB collection and answer from evidence</t>
        </is>
      </c>
      <c r="O15" s="3" t="inlineStr">
        <is>
          <t>STUDENT_RULES definitions</t>
        </is>
      </c>
      <c r="P15" s="3" t="inlineStr">
        <is>
          <t>Original KB/RAG question from uploaded 100-question dataset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 ht="72" customHeight="1">
      <c r="A16" s="2" t="inlineStr">
        <is>
          <t>D015</t>
        </is>
      </c>
      <c r="B16" s="2" t="inlineStr">
        <is>
          <t>sampled_from_UJ_100_RAG</t>
        </is>
      </c>
      <c r="C16" s="2" t="inlineStr">
        <is>
          <t>Q041</t>
        </is>
      </c>
      <c r="D16" s="2" t="inlineStr">
        <is>
          <t>ما متطلبات التخصيص وعدد الساعات المطلوبة لتخصص الأمن السيبراني؟</t>
        </is>
      </c>
      <c r="E16" s="2" t="inlineStr">
        <is>
          <t>متطلبات التخصيص لتخصص requirements: لا توجد متطلبات محددة مذكورة.</t>
        </is>
      </c>
      <c r="F16" s="2" t="inlineStr">
        <is>
          <t>medium</t>
        </is>
      </c>
      <c r="G16" s="2" t="inlineStr">
        <is>
          <t>RAG_ONLY</t>
        </is>
      </c>
      <c r="H16" s="2" t="inlineStr">
        <is>
          <t>RAG / KB retrieval</t>
        </is>
      </c>
      <c r="I16" s="2" t="inlineStr"/>
      <c r="J16" s="2" t="inlineStr">
        <is>
          <t>specialization</t>
        </is>
      </c>
      <c r="K16" s="2" t="n">
        <v>1</v>
      </c>
      <c r="L16" s="2" t="n">
        <v>0</v>
      </c>
      <c r="M16" s="2" t="n">
        <v>0</v>
      </c>
      <c r="N16" s="2" t="inlineStr">
        <is>
          <t>Retrieve from KB collection and answer from evidence</t>
        </is>
      </c>
      <c r="O16" s="2" t="inlineStr">
        <is>
          <t>SpecializationGuide</t>
        </is>
      </c>
      <c r="P16" s="2" t="inlineStr">
        <is>
          <t>Original KB/RAG question from uploaded 100-question dataset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</row>
    <row r="17" ht="72" customHeight="1">
      <c r="A17" s="3" t="inlineStr">
        <is>
          <t>D016</t>
        </is>
      </c>
      <c r="B17" s="3" t="inlineStr">
        <is>
          <t>sampled_from_UJ_100_RAG</t>
        </is>
      </c>
      <c r="C17" s="3" t="inlineStr">
        <is>
          <t>Q042</t>
        </is>
      </c>
      <c r="D17" s="3" t="inlineStr">
        <is>
          <t>ما متطلبات التخصيص وعدد الساعات المطلوبة لتخصص الذكاء الاصطناعي؟</t>
        </is>
      </c>
      <c r="E17" s="3" t="inlineStr">
        <is>
          <t>متطلبات التخصيص لتخصص requirements: لا توجد متطلبات محددة مذكورة.</t>
        </is>
      </c>
      <c r="F17" s="3" t="inlineStr">
        <is>
          <t>medium</t>
        </is>
      </c>
      <c r="G17" s="3" t="inlineStr">
        <is>
          <t>RAG_ONLY</t>
        </is>
      </c>
      <c r="H17" s="3" t="inlineStr">
        <is>
          <t>RAG / KB retrieval</t>
        </is>
      </c>
      <c r="I17" s="3" t="inlineStr"/>
      <c r="J17" s="3" t="inlineStr">
        <is>
          <t>specialization</t>
        </is>
      </c>
      <c r="K17" s="3" t="n">
        <v>1</v>
      </c>
      <c r="L17" s="3" t="n">
        <v>0</v>
      </c>
      <c r="M17" s="3" t="n">
        <v>0</v>
      </c>
      <c r="N17" s="3" t="inlineStr">
        <is>
          <t>Retrieve from KB collection and answer from evidence</t>
        </is>
      </c>
      <c r="O17" s="3" t="inlineStr">
        <is>
          <t>SpecializationGuide</t>
        </is>
      </c>
      <c r="P17" s="3" t="inlineStr">
        <is>
          <t>Original KB/RAG question from uploaded 100-question dataset</t>
        </is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 ht="72" customHeight="1">
      <c r="A18" s="2" t="inlineStr">
        <is>
          <t>D017</t>
        </is>
      </c>
      <c r="B18" s="2" t="inlineStr">
        <is>
          <t>sampled_from_UJ_100_RAG</t>
        </is>
      </c>
      <c r="C18" s="2" t="inlineStr">
        <is>
          <t>Q081</t>
        </is>
      </c>
      <c r="D18" s="2" t="inlineStr">
        <is>
          <t>من هن الطالبات المساعدات لمادة أخلاقيات وحوكمة الحاسب؟</t>
        </is>
      </c>
      <c r="E18" s="2" t="inlineStr">
        <is>
          <t>الطالبات المساعدات لمادة أخلاقيات وحوكمة الحاسب هن: نورة القحطاني، رهف السويلم.</t>
        </is>
      </c>
      <c r="F18" s="2" t="inlineStr">
        <is>
          <t>easy</t>
        </is>
      </c>
      <c r="G18" s="2" t="inlineStr">
        <is>
          <t>RAG_ONLY</t>
        </is>
      </c>
      <c r="H18" s="2" t="inlineStr">
        <is>
          <t>RAG / KB retrieval</t>
        </is>
      </c>
      <c r="I18" s="2" t="inlineStr"/>
      <c r="J18" s="2" t="inlineStr">
        <is>
          <t>student_helpers</t>
        </is>
      </c>
      <c r="K18" s="2" t="n">
        <v>1</v>
      </c>
      <c r="L18" s="2" t="n">
        <v>0</v>
      </c>
      <c r="M18" s="2" t="n">
        <v>0</v>
      </c>
      <c r="N18" s="2" t="inlineStr">
        <is>
          <t>Retrieve from KB collection and answer from evidence</t>
        </is>
      </c>
      <c r="O18" s="2" t="inlineStr">
        <is>
          <t>student_helpers.csv</t>
        </is>
      </c>
      <c r="P18" s="2" t="inlineStr">
        <is>
          <t>Original KB/RAG question from uploaded 100-question dataset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</row>
    <row r="19" ht="72" customHeight="1">
      <c r="A19" s="3" t="inlineStr">
        <is>
          <t>D018</t>
        </is>
      </c>
      <c r="B19" s="3" t="inlineStr">
        <is>
          <t>sampled_from_UJ_100_RAG</t>
        </is>
      </c>
      <c r="C19" s="3" t="inlineStr">
        <is>
          <t>Q082</t>
        </is>
      </c>
      <c r="D19" s="3" t="inlineStr">
        <is>
          <t>من هن الطالبات المساعدات لمادة أخلاقيات وحوكمة الحاسب؟</t>
        </is>
      </c>
      <c r="E19" s="3" t="inlineStr">
        <is>
          <t>الطالبات المساعدات لمادة أخلاقيات وحوكمة الحاسب هن: نورة القحطاني، رهف السويلم.</t>
        </is>
      </c>
      <c r="F19" s="3" t="inlineStr">
        <is>
          <t>easy</t>
        </is>
      </c>
      <c r="G19" s="3" t="inlineStr">
        <is>
          <t>RAG_ONLY</t>
        </is>
      </c>
      <c r="H19" s="3" t="inlineStr">
        <is>
          <t>RAG / KB retrieval</t>
        </is>
      </c>
      <c r="I19" s="3" t="inlineStr"/>
      <c r="J19" s="3" t="inlineStr">
        <is>
          <t>student_helpers</t>
        </is>
      </c>
      <c r="K19" s="3" t="n">
        <v>1</v>
      </c>
      <c r="L19" s="3" t="n">
        <v>0</v>
      </c>
      <c r="M19" s="3" t="n">
        <v>0</v>
      </c>
      <c r="N19" s="3" t="inlineStr">
        <is>
          <t>Retrieve from KB collection and answer from evidence</t>
        </is>
      </c>
      <c r="O19" s="3" t="inlineStr">
        <is>
          <t>student_helpers.csv</t>
        </is>
      </c>
      <c r="P19" s="3" t="inlineStr">
        <is>
          <t>Original KB/RAG question from uploaded 100-question dataset</t>
        </is>
      </c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 ht="72" customHeight="1">
      <c r="A20" s="2" t="inlineStr">
        <is>
          <t>D019</t>
        </is>
      </c>
      <c r="B20" s="2" t="inlineStr">
        <is>
          <t>sampled_from_UJ_100_RAG</t>
        </is>
      </c>
      <c r="C20" s="2" t="inlineStr">
        <is>
          <t>Q011</t>
        </is>
      </c>
      <c r="D20" s="2" t="inlineStr">
        <is>
          <t>كيف يتم التقديم على التحويل الداخلي في جامعة جدة؟</t>
        </is>
      </c>
      <c r="E20" s="2" t="inlineStr">
        <is>
          <t>يتم التقديم على التحويل الداخلي حصراً عبر بوابة الجامعة الإلكترونية خلال فترة التقديم المعلنة.</t>
        </is>
      </c>
      <c r="F20" s="2" t="inlineStr">
        <is>
          <t>easy</t>
        </is>
      </c>
      <c r="G20" s="2" t="inlineStr">
        <is>
          <t>RAG_ONLY</t>
        </is>
      </c>
      <c r="H20" s="2" t="inlineStr">
        <is>
          <t>RAG / KB retrieval</t>
        </is>
      </c>
      <c r="I20" s="2" t="inlineStr"/>
      <c r="J20" s="2" t="inlineStr">
        <is>
          <t>transfer_rules</t>
        </is>
      </c>
      <c r="K20" s="2" t="n">
        <v>1</v>
      </c>
      <c r="L20" s="2" t="n">
        <v>0</v>
      </c>
      <c r="M20" s="2" t="n">
        <v>0</v>
      </c>
      <c r="N20" s="2" t="inlineStr">
        <is>
          <t>Retrieve from KB collection and answer from evidence</t>
        </is>
      </c>
      <c r="O20" s="2" t="inlineStr">
        <is>
          <t>Tahweelchunks application process</t>
        </is>
      </c>
      <c r="P20" s="2" t="inlineStr">
        <is>
          <t>Original KB/RAG question from uploaded 100-question dataset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</row>
    <row r="21" ht="72" customHeight="1">
      <c r="A21" s="3" t="inlineStr">
        <is>
          <t>D020</t>
        </is>
      </c>
      <c r="B21" s="3" t="inlineStr">
        <is>
          <t>sampled_from_UJ_100_RAG</t>
        </is>
      </c>
      <c r="C21" s="3" t="inlineStr">
        <is>
          <t>Q012</t>
        </is>
      </c>
      <c r="D21" s="3" t="inlineStr">
        <is>
          <t>هل يمكن تعديل رغبات التحويل بعد انتهاء فترة التقديم؟</t>
        </is>
      </c>
      <c r="E21" s="3" t="inlineStr">
        <is>
          <t>لا، لا يمكن تعديل الرغبات أو إلغاؤها بعد انتهاء فترة التقديم وإغلاق النظام.</t>
        </is>
      </c>
      <c r="F21" s="3" t="inlineStr">
        <is>
          <t>easy</t>
        </is>
      </c>
      <c r="G21" s="3" t="inlineStr">
        <is>
          <t>RAG_ONLY</t>
        </is>
      </c>
      <c r="H21" s="3" t="inlineStr">
        <is>
          <t>RAG / KB retrieval</t>
        </is>
      </c>
      <c r="I21" s="3" t="inlineStr"/>
      <c r="J21" s="3" t="inlineStr">
        <is>
          <t>transfer_rules</t>
        </is>
      </c>
      <c r="K21" s="3" t="n">
        <v>1</v>
      </c>
      <c r="L21" s="3" t="n">
        <v>0</v>
      </c>
      <c r="M21" s="3" t="n">
        <v>0</v>
      </c>
      <c r="N21" s="3" t="inlineStr">
        <is>
          <t>Retrieve from KB collection and answer from evidence</t>
        </is>
      </c>
      <c r="O21" s="3" t="inlineStr">
        <is>
          <t>Tahweelchunks transform_rules_general</t>
        </is>
      </c>
      <c r="P21" s="3" t="inlineStr">
        <is>
          <t>Original KB/RAG question from uploaded 100-question dataset</t>
        </is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</row>
    <row r="22" ht="72" customHeight="1">
      <c r="A22" s="2" t="inlineStr">
        <is>
          <t>D021</t>
        </is>
      </c>
      <c r="B22" s="2" t="inlineStr">
        <is>
          <t>sampled_from_UJ_100_RAG</t>
        </is>
      </c>
      <c r="C22" s="2" t="inlineStr">
        <is>
          <t>Q003</t>
        </is>
      </c>
      <c r="D22" s="2" t="inlineStr">
        <is>
          <t>ما الفرق بين الفصل الدراسي والفصل الصيفي؟</t>
        </is>
      </c>
      <c r="E22" s="2" t="inlineStr">
        <is>
          <t>الفصل الدراسي مدته لا تقل عن خمسة عشر أسبوعاً، أما الفصل الصيفي فلا يزيد على ثمانية أسابيع وتضاعف فيه المدة المخصصة لكل مقرر.</t>
        </is>
      </c>
      <c r="F22" s="2" t="inlineStr">
        <is>
          <t>medium</t>
        </is>
      </c>
      <c r="G22" s="2" t="inlineStr">
        <is>
          <t>RAG_ONLY</t>
        </is>
      </c>
      <c r="H22" s="2" t="inlineStr">
        <is>
          <t>RAG / KB retrieval</t>
        </is>
      </c>
      <c r="I22" s="2" t="inlineStr"/>
      <c r="J22" s="2" t="inlineStr">
        <is>
          <t>regulations</t>
        </is>
      </c>
      <c r="K22" s="2" t="n">
        <v>1</v>
      </c>
      <c r="L22" s="2" t="n">
        <v>0</v>
      </c>
      <c r="M22" s="2" t="n">
        <v>0</v>
      </c>
      <c r="N22" s="2" t="inlineStr">
        <is>
          <t>Retrieve from KB collection and answer from evidence</t>
        </is>
      </c>
      <c r="O22" s="2" t="inlineStr">
        <is>
          <t>STUDENT_RULES definitions</t>
        </is>
      </c>
      <c r="P22" s="2" t="inlineStr">
        <is>
          <t>Original KB/RAG question from uploaded 100-question dataset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</row>
    <row r="23" ht="72" customHeight="1">
      <c r="A23" s="3" t="inlineStr">
        <is>
          <t>D022</t>
        </is>
      </c>
      <c r="B23" s="3" t="inlineStr">
        <is>
          <t>sampled_from_UJ_100_RAG</t>
        </is>
      </c>
      <c r="C23" s="3" t="inlineStr">
        <is>
          <t>Q023</t>
        </is>
      </c>
      <c r="D23" s="3" t="inlineStr">
        <is>
          <t>كم إجمالي الساعات المعتمدة في برنامج علوم الحاسب؟</t>
        </is>
      </c>
      <c r="E23" s="3" t="inlineStr">
        <is>
          <t>إجمالي الساعات المعتمدة في برنامج علوم الحاسب هو 168 ساعة.</t>
        </is>
      </c>
      <c r="F23" s="3" t="inlineStr">
        <is>
          <t>easy</t>
        </is>
      </c>
      <c r="G23" s="3" t="inlineStr">
        <is>
          <t>RAG_ONLY</t>
        </is>
      </c>
      <c r="H23" s="3" t="inlineStr">
        <is>
          <t>RAG / KB retrieval</t>
        </is>
      </c>
      <c r="I23" s="3" t="inlineStr"/>
      <c r="J23" s="3" t="inlineStr">
        <is>
          <t>degree_plans</t>
        </is>
      </c>
      <c r="K23" s="3" t="n">
        <v>1</v>
      </c>
      <c r="L23" s="3" t="n">
        <v>0</v>
      </c>
      <c r="M23" s="3" t="n">
        <v>0</v>
      </c>
      <c r="N23" s="3" t="inlineStr">
        <is>
          <t>Retrieve from KB collection and answer from evidence</t>
        </is>
      </c>
      <c r="O23" s="3" t="inlineStr">
        <is>
          <t>علوم الحاسب normalized</t>
        </is>
      </c>
      <c r="P23" s="3" t="inlineStr">
        <is>
          <t>Original KB/RAG question from uploaded 100-question dataset</t>
        </is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</row>
    <row r="24" ht="72" customHeight="1">
      <c r="A24" s="2" t="inlineStr">
        <is>
          <t>D023</t>
        </is>
      </c>
      <c r="B24" s="2" t="inlineStr">
        <is>
          <t>sampled_from_UJ_100_RAG</t>
        </is>
      </c>
      <c r="C24" s="2" t="inlineStr">
        <is>
          <t>Q013</t>
        </is>
      </c>
      <c r="D24" s="2" t="inlineStr">
        <is>
          <t>ما الشروط العامة التي تمنع الطالب من التقديم على التحويل؟</t>
        </is>
      </c>
      <c r="E24" s="2" t="inlineStr">
        <is>
          <t>من أبرز الموانع: أن يكون الطالب موقوفاً أو معاقباً أكاديمياً، أو غير منتظم وقت تقديم الطلب، أو غير مستوفٍ للشروط العامة للبرنامج.</t>
        </is>
      </c>
      <c r="F24" s="2" t="inlineStr">
        <is>
          <t>medium</t>
        </is>
      </c>
      <c r="G24" s="2" t="inlineStr">
        <is>
          <t>RAG_ONLY</t>
        </is>
      </c>
      <c r="H24" s="2" t="inlineStr">
        <is>
          <t>RAG / KB retrieval</t>
        </is>
      </c>
      <c r="I24" s="2" t="inlineStr"/>
      <c r="J24" s="2" t="inlineStr">
        <is>
          <t>transfer_rules</t>
        </is>
      </c>
      <c r="K24" s="2" t="n">
        <v>1</v>
      </c>
      <c r="L24" s="2" t="n">
        <v>0</v>
      </c>
      <c r="M24" s="2" t="n">
        <v>0</v>
      </c>
      <c r="N24" s="2" t="inlineStr">
        <is>
          <t>Retrieve from KB collection and answer from evidence</t>
        </is>
      </c>
      <c r="O24" s="2" t="inlineStr">
        <is>
          <t>Tahweelchunks general_rules/eligibility</t>
        </is>
      </c>
      <c r="P24" s="2" t="inlineStr">
        <is>
          <t>Original KB/RAG question from uploaded 100-question dataset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</row>
    <row r="25" ht="72" customHeight="1">
      <c r="A25" s="3" t="inlineStr">
        <is>
          <t>D024</t>
        </is>
      </c>
      <c r="B25" s="3" t="inlineStr">
        <is>
          <t>sampled_from_UJ_100_RAG</t>
        </is>
      </c>
      <c r="C25" s="3" t="inlineStr">
        <is>
          <t>Q063</t>
        </is>
      </c>
      <c r="D25" s="3" t="inlineStr">
        <is>
          <t>كيف قيّم الطلاب تجربة التدريب في جهة مستشفى العسكري؟</t>
        </is>
      </c>
      <c r="E25" s="3" t="inlineStr">
        <is>
          <t>قيّم الطلاب تجربة التدريب في مستشفى العسكري بأنها: رائع</t>
        </is>
      </c>
      <c r="F25" s="3" t="inlineStr">
        <is>
          <t>medium</t>
        </is>
      </c>
      <c r="G25" s="3" t="inlineStr">
        <is>
          <t>RAG_ONLY</t>
        </is>
      </c>
      <c r="H25" s="3" t="inlineStr">
        <is>
          <t>RAG / KB retrieval</t>
        </is>
      </c>
      <c r="I25" s="3" t="inlineStr"/>
      <c r="J25" s="3" t="inlineStr">
        <is>
          <t>coop_replies</t>
        </is>
      </c>
      <c r="K25" s="3" t="n">
        <v>1</v>
      </c>
      <c r="L25" s="3" t="n">
        <v>0</v>
      </c>
      <c r="M25" s="3" t="n">
        <v>0</v>
      </c>
      <c r="N25" s="3" t="inlineStr">
        <is>
          <t>Retrieve from KB collection and answer from evidence</t>
        </is>
      </c>
      <c r="O25" s="3" t="inlineStr">
        <is>
          <t>COOPreplies.csv</t>
        </is>
      </c>
      <c r="P25" s="3" t="inlineStr">
        <is>
          <t>Original KB/RAG question from uploaded 100-question dataset</t>
        </is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 ht="72" customHeight="1">
      <c r="A26" s="2" t="inlineStr">
        <is>
          <t>D025</t>
        </is>
      </c>
      <c r="B26" s="2" t="inlineStr">
        <is>
          <t>sampled_from_UJ_100_RAG</t>
        </is>
      </c>
      <c r="C26" s="2" t="inlineStr">
        <is>
          <t>Q073</t>
        </is>
      </c>
      <c r="D26" s="2" t="inlineStr">
        <is>
          <t>متى تبدأ ومتى تنتهي فعالية: بداية الفصل الدراسي الثاني للعام الجامعي 1447هـ؟</t>
        </is>
      </c>
      <c r="E26" s="2" t="inlineStr">
        <is>
          <t>تبدأ فعالية بداية الفصل الدراسي الثاني للعام الجامعي 1447هـ في 2026-01-18 وتنتهي في -----------------.</t>
        </is>
      </c>
      <c r="F26" s="2" t="inlineStr">
        <is>
          <t>easy</t>
        </is>
      </c>
      <c r="G26" s="2" t="inlineStr">
        <is>
          <t>RAG_ONLY</t>
        </is>
      </c>
      <c r="H26" s="2" t="inlineStr">
        <is>
          <t>RAG / KB retrieval</t>
        </is>
      </c>
      <c r="I26" s="2" t="inlineStr"/>
      <c r="J26" s="2" t="inlineStr">
        <is>
          <t>academic_calendar</t>
        </is>
      </c>
      <c r="K26" s="2" t="n">
        <v>1</v>
      </c>
      <c r="L26" s="2" t="n">
        <v>0</v>
      </c>
      <c r="M26" s="2" t="n">
        <v>0</v>
      </c>
      <c r="N26" s="2" t="inlineStr">
        <is>
          <t>Retrieve from KB collection and answer from evidence</t>
        </is>
      </c>
      <c r="O26" s="2" t="inlineStr">
        <is>
          <t>academic_calendar.csv</t>
        </is>
      </c>
      <c r="P26" s="2" t="inlineStr">
        <is>
          <t>Original KB/RAG question from uploaded 100-question dataset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 ht="72" customHeight="1">
      <c r="A27" s="3" t="inlineStr">
        <is>
          <t>D026</t>
        </is>
      </c>
      <c r="B27" s="3" t="inlineStr">
        <is>
          <t>generated_SQL</t>
        </is>
      </c>
      <c r="C27" s="3" t="inlineStr"/>
      <c r="D27" s="3" t="inlineStr">
        <is>
          <t>كم عدد الطالبات في قاعدة البيانات؟</t>
        </is>
      </c>
      <c r="E27" s="3" t="inlineStr">
        <is>
          <t>عدد الطالبات في قاعدة البيانات هو 215.</t>
        </is>
      </c>
      <c r="F27" s="3" t="inlineStr">
        <is>
          <t>easy</t>
        </is>
      </c>
      <c r="G27" s="3" t="inlineStr">
        <is>
          <t>SQL_ONLY</t>
        </is>
      </c>
      <c r="H27" s="3" t="inlineStr">
        <is>
          <t>SQL</t>
        </is>
      </c>
      <c r="I27" s="3" t="inlineStr"/>
      <c r="J27" s="3" t="inlineStr">
        <is>
          <t>students</t>
        </is>
      </c>
      <c r="K27" s="3" t="n">
        <v>0</v>
      </c>
      <c r="L27" s="3" t="n">
        <v>1</v>
      </c>
      <c r="M27" s="3" t="n">
        <v>0</v>
      </c>
      <c r="N27" s="3" t="inlineStr">
        <is>
          <t>COUNT total students</t>
        </is>
      </c>
      <c r="O27" s="3" t="inlineStr">
        <is>
          <t>Generated from uploaded student SQLite schema / model feature schema</t>
        </is>
      </c>
      <c r="P27" s="3" t="inlineStr">
        <is>
          <t>Added for Decision Layer evaluation</t>
        </is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 ht="72" customHeight="1">
      <c r="A28" s="2" t="inlineStr">
        <is>
          <t>D027</t>
        </is>
      </c>
      <c r="B28" s="2" t="inlineStr">
        <is>
          <t>generated_SQL</t>
        </is>
      </c>
      <c r="C28" s="2" t="inlineStr"/>
      <c r="D28" s="2" t="inlineStr">
        <is>
          <t>كم عدد الطالبات المتوقع تخرجهن هذه السنة؟</t>
        </is>
      </c>
      <c r="E28" s="2" t="inlineStr">
        <is>
          <t>عدد الطالبات المتوقع تخرجهن هذه السنة هو 99.</t>
        </is>
      </c>
      <c r="F28" s="2" t="inlineStr">
        <is>
          <t>easy</t>
        </is>
      </c>
      <c r="G28" s="2" t="inlineStr">
        <is>
          <t>SQL_ONLY</t>
        </is>
      </c>
      <c r="H28" s="2" t="inlineStr">
        <is>
          <t>SQL</t>
        </is>
      </c>
      <c r="I28" s="2" t="inlineStr"/>
      <c r="J28" s="2" t="inlineStr">
        <is>
          <t>students</t>
        </is>
      </c>
      <c r="K28" s="2" t="n">
        <v>0</v>
      </c>
      <c r="L28" s="2" t="n">
        <v>1</v>
      </c>
      <c r="M28" s="2" t="n">
        <v>0</v>
      </c>
      <c r="N28" s="2" t="inlineStr">
        <is>
          <t>COUNT graduating_this_year='Y'</t>
        </is>
      </c>
      <c r="O28" s="2" t="inlineStr">
        <is>
          <t>Generated from uploaded student SQLite schema / model feature schema</t>
        </is>
      </c>
      <c r="P28" s="2" t="inlineStr">
        <is>
          <t>Added for Decision Layer evaluation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</row>
    <row r="29" ht="72" customHeight="1">
      <c r="A29" s="3" t="inlineStr">
        <is>
          <t>D028</t>
        </is>
      </c>
      <c r="B29" s="3" t="inlineStr">
        <is>
          <t>generated_SQL</t>
        </is>
      </c>
      <c r="C29" s="3" t="inlineStr"/>
      <c r="D29" s="3" t="inlineStr">
        <is>
          <t>كم عدد الطالبات غير المتوقع تخرجهن هذه السنة؟</t>
        </is>
      </c>
      <c r="E29" s="3" t="inlineStr">
        <is>
          <t>عدد الطالبات غير المتوقع تخرجهن هذه السنة هو 116.</t>
        </is>
      </c>
      <c r="F29" s="3" t="inlineStr">
        <is>
          <t>easy</t>
        </is>
      </c>
      <c r="G29" s="3" t="inlineStr">
        <is>
          <t>SQL_ONLY</t>
        </is>
      </c>
      <c r="H29" s="3" t="inlineStr">
        <is>
          <t>SQL</t>
        </is>
      </c>
      <c r="I29" s="3" t="inlineStr"/>
      <c r="J29" s="3" t="inlineStr">
        <is>
          <t>students</t>
        </is>
      </c>
      <c r="K29" s="3" t="n">
        <v>0</v>
      </c>
      <c r="L29" s="3" t="n">
        <v>1</v>
      </c>
      <c r="M29" s="3" t="n">
        <v>0</v>
      </c>
      <c r="N29" s="3" t="inlineStr">
        <is>
          <t>COUNT graduating_this_year='N'</t>
        </is>
      </c>
      <c r="O29" s="3" t="inlineStr">
        <is>
          <t>Generated from uploaded student SQLite schema / model feature schema</t>
        </is>
      </c>
      <c r="P29" s="3" t="inlineStr">
        <is>
          <t>Added for Decision Layer evaluation</t>
        </is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  <row r="30" ht="72" customHeight="1">
      <c r="A30" s="2" t="inlineStr">
        <is>
          <t>D029</t>
        </is>
      </c>
      <c r="B30" s="2" t="inlineStr">
        <is>
          <t>generated_SQL</t>
        </is>
      </c>
      <c r="C30" s="2" t="inlineStr"/>
      <c r="D30" s="2" t="inlineStr">
        <is>
          <t>من هي المرشدة التي لديها أكبر عدد من الطالبات؟</t>
        </is>
      </c>
      <c r="E30" s="2" t="inlineStr">
        <is>
          <t>المرشدة الجوهرة الدوسري لديها أكبر عدد من الطالبات: 33 طالبة.</t>
        </is>
      </c>
      <c r="F30" s="2" t="inlineStr">
        <is>
          <t>medium</t>
        </is>
      </c>
      <c r="G30" s="2" t="inlineStr">
        <is>
          <t>SQL_ONLY</t>
        </is>
      </c>
      <c r="H30" s="2" t="inlineStr">
        <is>
          <t>SQL</t>
        </is>
      </c>
      <c r="I30" s="2" t="inlineStr"/>
      <c r="J30" s="2" t="inlineStr">
        <is>
          <t>students</t>
        </is>
      </c>
      <c r="K30" s="2" t="n">
        <v>0</v>
      </c>
      <c r="L30" s="2" t="n">
        <v>1</v>
      </c>
      <c r="M30" s="2" t="n">
        <v>0</v>
      </c>
      <c r="N30" s="2" t="inlineStr">
        <is>
          <t>GROUP BY advisor ORDER BY count DESC</t>
        </is>
      </c>
      <c r="O30" s="2" t="inlineStr">
        <is>
          <t>Generated from uploaded student SQLite schema / model feature schema</t>
        </is>
      </c>
      <c r="P30" s="2" t="inlineStr">
        <is>
          <t>Added for Decision Layer evaluation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/>
    </row>
    <row r="31" ht="72" customHeight="1">
      <c r="A31" s="3" t="inlineStr">
        <is>
          <t>D030</t>
        </is>
      </c>
      <c r="B31" s="3" t="inlineStr">
        <is>
          <t>generated_SQL</t>
        </is>
      </c>
      <c r="C31" s="3" t="inlineStr"/>
      <c r="D31" s="3" t="inlineStr">
        <is>
          <t>كم عدد الطالبات اللاتي لديهن حالة طبية مسجلة؟</t>
        </is>
      </c>
      <c r="E31" s="3" t="inlineStr">
        <is>
          <t>عدد الطالبات اللاتي لديهن حالة طبية مسجلة هو 38.</t>
        </is>
      </c>
      <c r="F31" s="3" t="inlineStr">
        <is>
          <t>medium</t>
        </is>
      </c>
      <c r="G31" s="3" t="inlineStr">
        <is>
          <t>SQL_ONLY</t>
        </is>
      </c>
      <c r="H31" s="3" t="inlineStr">
        <is>
          <t>SQL</t>
        </is>
      </c>
      <c r="I31" s="3" t="inlineStr"/>
      <c r="J31" s="3" t="inlineStr">
        <is>
          <t>students</t>
        </is>
      </c>
      <c r="K31" s="3" t="n">
        <v>0</v>
      </c>
      <c r="L31" s="3" t="n">
        <v>1</v>
      </c>
      <c r="M31" s="3" t="n">
        <v>0</v>
      </c>
      <c r="N31" s="3" t="inlineStr">
        <is>
          <t>COUNT has_medical_condition=1</t>
        </is>
      </c>
      <c r="O31" s="3" t="inlineStr">
        <is>
          <t>Generated from uploaded student SQLite schema / model feature schema</t>
        </is>
      </c>
      <c r="P31" s="3" t="inlineStr">
        <is>
          <t>Added for Decision Layer evaluation</t>
        </is>
      </c>
      <c r="Q31" s="3" t="inlineStr"/>
      <c r="R31" s="3" t="inlineStr"/>
      <c r="S31" s="3" t="inlineStr"/>
      <c r="T31" s="3" t="inlineStr"/>
      <c r="U31" s="3" t="inlineStr"/>
      <c r="V31" s="3" t="inlineStr"/>
      <c r="W31" s="3" t="inlineStr"/>
    </row>
    <row r="32" ht="72" customHeight="1">
      <c r="A32" s="2" t="inlineStr">
        <is>
          <t>D031</t>
        </is>
      </c>
      <c r="B32" s="2" t="inlineStr">
        <is>
          <t>generated_SQL</t>
        </is>
      </c>
      <c r="C32" s="2" t="inlineStr"/>
      <c r="D32" s="2" t="inlineStr">
        <is>
          <t>كم عدد الطالبات اللاتي يحتجن تهيئة أو مواءمة؟</t>
        </is>
      </c>
      <c r="E32" s="2" t="inlineStr">
        <is>
          <t>عدد الطالبات اللاتي يحتجن تهيئة أو مواءمة هو 19.</t>
        </is>
      </c>
      <c r="F32" s="2" t="inlineStr">
        <is>
          <t>medium</t>
        </is>
      </c>
      <c r="G32" s="2" t="inlineStr">
        <is>
          <t>SQL_ONLY</t>
        </is>
      </c>
      <c r="H32" s="2" t="inlineStr">
        <is>
          <t>SQL</t>
        </is>
      </c>
      <c r="I32" s="2" t="inlineStr"/>
      <c r="J32" s="2" t="inlineStr">
        <is>
          <t>students</t>
        </is>
      </c>
      <c r="K32" s="2" t="n">
        <v>0</v>
      </c>
      <c r="L32" s="2" t="n">
        <v>1</v>
      </c>
      <c r="M32" s="2" t="n">
        <v>0</v>
      </c>
      <c r="N32" s="2" t="inlineStr">
        <is>
          <t>COUNT needs_accommodation=1</t>
        </is>
      </c>
      <c r="O32" s="2" t="inlineStr">
        <is>
          <t>Generated from uploaded student SQLite schema / model feature schema</t>
        </is>
      </c>
      <c r="P32" s="2" t="inlineStr">
        <is>
          <t>Added for Decision Layer evaluation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 ht="72" customHeight="1">
      <c r="A33" s="3" t="inlineStr">
        <is>
          <t>D032</t>
        </is>
      </c>
      <c r="B33" s="3" t="inlineStr">
        <is>
          <t>generated_SQL</t>
        </is>
      </c>
      <c r="C33" s="3" t="inlineStr"/>
      <c r="D33" s="3" t="inlineStr">
        <is>
          <t>كم عدد المقررات الموجودة في جدول courses؟</t>
        </is>
      </c>
      <c r="E33" s="3" t="inlineStr">
        <is>
          <t>عدد المقررات الموجودة في جدول courses هو 50.</t>
        </is>
      </c>
      <c r="F33" s="3" t="inlineStr">
        <is>
          <t>easy</t>
        </is>
      </c>
      <c r="G33" s="3" t="inlineStr">
        <is>
          <t>SQL_ONLY</t>
        </is>
      </c>
      <c r="H33" s="3" t="inlineStr">
        <is>
          <t>SQL</t>
        </is>
      </c>
      <c r="I33" s="3" t="inlineStr"/>
      <c r="J33" s="3" t="inlineStr">
        <is>
          <t>courses</t>
        </is>
      </c>
      <c r="K33" s="3" t="n">
        <v>0</v>
      </c>
      <c r="L33" s="3" t="n">
        <v>1</v>
      </c>
      <c r="M33" s="3" t="n">
        <v>0</v>
      </c>
      <c r="N33" s="3" t="inlineStr">
        <is>
          <t>COUNT courses</t>
        </is>
      </c>
      <c r="O33" s="3" t="inlineStr">
        <is>
          <t>Generated from uploaded student SQLite schema / model feature schema</t>
        </is>
      </c>
      <c r="P33" s="3" t="inlineStr">
        <is>
          <t>Added for Decision Layer evaluation</t>
        </is>
      </c>
      <c r="Q33" s="3" t="inlineStr"/>
      <c r="R33" s="3" t="inlineStr"/>
      <c r="S33" s="3" t="inlineStr"/>
      <c r="T33" s="3" t="inlineStr"/>
      <c r="U33" s="3" t="inlineStr"/>
      <c r="V33" s="3" t="inlineStr"/>
      <c r="W33" s="3" t="inlineStr"/>
    </row>
    <row r="34" ht="72" customHeight="1">
      <c r="A34" s="2" t="inlineStr">
        <is>
          <t>D033</t>
        </is>
      </c>
      <c r="B34" s="2" t="inlineStr">
        <is>
          <t>generated_SQL</t>
        </is>
      </c>
      <c r="C34" s="2" t="inlineStr"/>
      <c r="D34" s="2" t="inlineStr">
        <is>
          <t>كم عدد سجلات المقررات المجتازة في جدول student_courses؟</t>
        </is>
      </c>
      <c r="E34" s="2" t="inlineStr">
        <is>
          <t>عدد سجلات المقررات المجتازة هو 5809.</t>
        </is>
      </c>
      <c r="F34" s="2" t="inlineStr">
        <is>
          <t>medium</t>
        </is>
      </c>
      <c r="G34" s="2" t="inlineStr">
        <is>
          <t>SQL_ONLY</t>
        </is>
      </c>
      <c r="H34" s="2" t="inlineStr">
        <is>
          <t>SQL</t>
        </is>
      </c>
      <c r="I34" s="2" t="inlineStr"/>
      <c r="J34" s="2" t="inlineStr">
        <is>
          <t>student_courses</t>
        </is>
      </c>
      <c r="K34" s="2" t="n">
        <v>0</v>
      </c>
      <c r="L34" s="2" t="n">
        <v>1</v>
      </c>
      <c r="M34" s="2" t="n">
        <v>0</v>
      </c>
      <c r="N34" s="2" t="inlineStr">
        <is>
          <t>COUNT status='P'</t>
        </is>
      </c>
      <c r="O34" s="2" t="inlineStr">
        <is>
          <t>Generated from uploaded student SQLite schema / model feature schema</t>
        </is>
      </c>
      <c r="P34" s="2" t="inlineStr">
        <is>
          <t>Added for Decision Layer evaluation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 ht="72" customHeight="1">
      <c r="A35" s="3" t="inlineStr">
        <is>
          <t>D034</t>
        </is>
      </c>
      <c r="B35" s="3" t="inlineStr">
        <is>
          <t>generated_SQL</t>
        </is>
      </c>
      <c r="C35" s="3" t="inlineStr"/>
      <c r="D35" s="3" t="inlineStr">
        <is>
          <t>ما أكثر مقرر لم يتم أخذه بعد حسب سجلات الطالبات؟</t>
        </is>
      </c>
      <c r="E35" s="3" t="inlineStr">
        <is>
          <t>أكثر مقرر لم يتم أخذه بعد هو CEAI 495 - مشروع تخرج-1 بعدد 162 سجل.</t>
        </is>
      </c>
      <c r="F35" s="3" t="inlineStr">
        <is>
          <t>medium</t>
        </is>
      </c>
      <c r="G35" s="3" t="inlineStr">
        <is>
          <t>SQL_ONLY</t>
        </is>
      </c>
      <c r="H35" s="3" t="inlineStr">
        <is>
          <t>SQL</t>
        </is>
      </c>
      <c r="I35" s="3" t="inlineStr"/>
      <c r="J35" s="3" t="inlineStr">
        <is>
          <t>student_courses</t>
        </is>
      </c>
      <c r="K35" s="3" t="n">
        <v>0</v>
      </c>
      <c r="L35" s="3" t="n">
        <v>1</v>
      </c>
      <c r="M35" s="3" t="n">
        <v>0</v>
      </c>
      <c r="N35" s="3" t="inlineStr">
        <is>
          <t>GROUP BY course_key WHERE status='N'</t>
        </is>
      </c>
      <c r="O35" s="3" t="inlineStr">
        <is>
          <t>Generated from uploaded student SQLite schema / model feature schema</t>
        </is>
      </c>
      <c r="P35" s="3" t="inlineStr">
        <is>
          <t>Added for Decision Layer evaluation</t>
        </is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 ht="72" customHeight="1">
      <c r="A36" s="2" t="inlineStr">
        <is>
          <t>D035</t>
        </is>
      </c>
      <c r="B36" s="2" t="inlineStr">
        <is>
          <t>generated_SQL</t>
        </is>
      </c>
      <c r="C36" s="2" t="inlineStr"/>
      <c r="D36" s="2" t="inlineStr">
        <is>
          <t>كم عدد الطالبات المتوقع تخرجهن لدى المرشدة هند الشمري؟</t>
        </is>
      </c>
      <c r="E36" s="2" t="inlineStr">
        <is>
          <t>عدد الطالبات المتوقع تخرجهن لدى هند الشمري هو 18.</t>
        </is>
      </c>
      <c r="F36" s="2" t="inlineStr">
        <is>
          <t>medium</t>
        </is>
      </c>
      <c r="G36" s="2" t="inlineStr">
        <is>
          <t>SQL_ONLY</t>
        </is>
      </c>
      <c r="H36" s="2" t="inlineStr">
        <is>
          <t>SQL</t>
        </is>
      </c>
      <c r="I36" s="2" t="inlineStr"/>
      <c r="J36" s="2" t="inlineStr">
        <is>
          <t>students</t>
        </is>
      </c>
      <c r="K36" s="2" t="n">
        <v>0</v>
      </c>
      <c r="L36" s="2" t="n">
        <v>1</v>
      </c>
      <c r="M36" s="2" t="n">
        <v>0</v>
      </c>
      <c r="N36" s="2" t="inlineStr">
        <is>
          <t>COUNT advisor='هند الشمري' AND graduating_this_year='Y'</t>
        </is>
      </c>
      <c r="O36" s="2" t="inlineStr">
        <is>
          <t>Generated from uploaded student SQLite schema / model feature schema</t>
        </is>
      </c>
      <c r="P36" s="2" t="inlineStr">
        <is>
          <t>Added for Decision Layer evaluation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 ht="72" customHeight="1">
      <c r="A37" s="3" t="inlineStr">
        <is>
          <t>D036</t>
        </is>
      </c>
      <c r="B37" s="3" t="inlineStr">
        <is>
          <t>generated_MODEL</t>
        </is>
      </c>
      <c r="C37" s="3" t="inlineStr"/>
      <c r="D37" s="3" t="inlineStr">
        <is>
          <t>طالبة حضورها 60، مشاركتها 54، الكويزات 58، الواجبات 43، الميد 31، والمشاريع 51. هل تحتاج تقييم خطر تعثر؟</t>
        </is>
      </c>
      <c r="E37" s="3" t="inlineStr">
        <is>
          <t>يجب توجيه السؤال إلى نموذج risk لأنه يحتوي على مؤشرات الأداء الأكاديمي: attendance, participation, quizzes, assignments, midterm, projects.</t>
        </is>
      </c>
      <c r="F37" s="3" t="inlineStr">
        <is>
          <t>medium</t>
        </is>
      </c>
      <c r="G37" s="3" t="inlineStr">
        <is>
          <t>MODEL_RISK</t>
        </is>
      </c>
      <c r="H37" s="3" t="inlineStr">
        <is>
          <t>Risk Model</t>
        </is>
      </c>
      <c r="I37" s="3" t="inlineStr"/>
      <c r="J37" s="3" t="inlineStr">
        <is>
          <t>risk_features / risk_model</t>
        </is>
      </c>
      <c r="K37" s="3" t="n">
        <v>0</v>
      </c>
      <c r="L37" s="3" t="n">
        <v>0</v>
      </c>
      <c r="M37" s="3" t="n">
        <v>1</v>
      </c>
      <c r="N37" s="3" t="inlineStr">
        <is>
          <t>risk model feature vector</t>
        </is>
      </c>
      <c r="O37" s="3" t="inlineStr">
        <is>
          <t>Generated from uploaded student SQLite schema / model feature schema</t>
        </is>
      </c>
      <c r="P37" s="3" t="inlineStr">
        <is>
          <t>Added for Decision Layer evaluation</t>
        </is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 ht="72" customHeight="1">
      <c r="A38" s="2" t="inlineStr">
        <is>
          <t>D037</t>
        </is>
      </c>
      <c r="B38" s="2" t="inlineStr">
        <is>
          <t>generated_MODEL</t>
        </is>
      </c>
      <c r="C38" s="2" t="inlineStr"/>
      <c r="D38" s="2" t="inlineStr">
        <is>
          <t>قيّمي خطر التعثر لطالبة: attendance=88, participation=80, quizzes=77, assignments=90, midterm=82, projects=85.</t>
        </is>
      </c>
      <c r="E38" s="2" t="inlineStr">
        <is>
          <t>يجب استخدام نموذج risk فقط، لأن السؤال يطلب تنبؤ خطر التعثر من درجات الأداء الأكاديمي.</t>
        </is>
      </c>
      <c r="F38" s="2" t="inlineStr">
        <is>
          <t>medium</t>
        </is>
      </c>
      <c r="G38" s="2" t="inlineStr">
        <is>
          <t>MODEL_RISK</t>
        </is>
      </c>
      <c r="H38" s="2" t="inlineStr">
        <is>
          <t>Risk Model</t>
        </is>
      </c>
      <c r="I38" s="2" t="inlineStr"/>
      <c r="J38" s="2" t="inlineStr">
        <is>
          <t>risk_features / risk_model</t>
        </is>
      </c>
      <c r="K38" s="2" t="n">
        <v>0</v>
      </c>
      <c r="L38" s="2" t="n">
        <v>0</v>
      </c>
      <c r="M38" s="2" t="n">
        <v>1</v>
      </c>
      <c r="N38" s="2" t="inlineStr">
        <is>
          <t>risk model prediction</t>
        </is>
      </c>
      <c r="O38" s="2" t="inlineStr">
        <is>
          <t>Generated from uploaded student SQLite schema / model feature schema</t>
        </is>
      </c>
      <c r="P38" s="2" t="inlineStr">
        <is>
          <t>Added for Decision Layer evaluation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 ht="72" customHeight="1">
      <c r="A39" s="3" t="inlineStr">
        <is>
          <t>D038</t>
        </is>
      </c>
      <c r="B39" s="3" t="inlineStr">
        <is>
          <t>generated_MODEL</t>
        </is>
      </c>
      <c r="C39" s="3" t="inlineStr"/>
      <c r="D39" s="3" t="inlineStr">
        <is>
          <t>هل الطالبة معرضة للخطر إذا كان حضورها 45 والميد 30 والواجبات 40 والكويزات 35 والمشاركة 50 والمشاريع 42؟</t>
        </is>
      </c>
      <c r="E39" s="3" t="inlineStr">
        <is>
          <t>يجب استخدام نموذج risk فقط، ولا يحتاج RAG أو SQL إلا إذا طُلبت بيانات طالبة محفوظة.</t>
        </is>
      </c>
      <c r="F39" s="3" t="inlineStr">
        <is>
          <t>medium</t>
        </is>
      </c>
      <c r="G39" s="3" t="inlineStr">
        <is>
          <t>MODEL_RISK</t>
        </is>
      </c>
      <c r="H39" s="3" t="inlineStr">
        <is>
          <t>Risk Model</t>
        </is>
      </c>
      <c r="I39" s="3" t="inlineStr"/>
      <c r="J39" s="3" t="inlineStr">
        <is>
          <t>risk_features / risk_model</t>
        </is>
      </c>
      <c r="K39" s="3" t="n">
        <v>0</v>
      </c>
      <c r="L39" s="3" t="n">
        <v>0</v>
      </c>
      <c r="M39" s="3" t="n">
        <v>1</v>
      </c>
      <c r="N39" s="3" t="inlineStr">
        <is>
          <t>risk model prediction</t>
        </is>
      </c>
      <c r="O39" s="3" t="inlineStr">
        <is>
          <t>Generated from uploaded student SQLite schema / model feature schema</t>
        </is>
      </c>
      <c r="P39" s="3" t="inlineStr">
        <is>
          <t>Added for Decision Layer evaluation</t>
        </is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 ht="72" customHeight="1">
      <c r="A40" s="2" t="inlineStr">
        <is>
          <t>D039</t>
        </is>
      </c>
      <c r="B40" s="2" t="inlineStr">
        <is>
          <t>generated_MODEL</t>
        </is>
      </c>
      <c r="C40" s="2" t="inlineStr"/>
      <c r="D40" s="2" t="inlineStr">
        <is>
          <t>عندي طالبة درجاتها منخفضة في الحضور والميد والواجبات، أبغى أعرف هل تدخل ضمن risk students.</t>
        </is>
      </c>
      <c r="E40" s="2" t="inlineStr">
        <is>
          <t>المسار المتوقع هو MODEL_RISK، مع استخراج مؤشرات الأداء ثم تشغيل نموذج الخطر إن توفرت كل القيم المطلوبة.</t>
        </is>
      </c>
      <c r="F40" s="2" t="inlineStr">
        <is>
          <t>hard</t>
        </is>
      </c>
      <c r="G40" s="2" t="inlineStr">
        <is>
          <t>MODEL_RISK</t>
        </is>
      </c>
      <c r="H40" s="2" t="inlineStr">
        <is>
          <t>Risk Model</t>
        </is>
      </c>
      <c r="I40" s="2" t="inlineStr"/>
      <c r="J40" s="2" t="inlineStr">
        <is>
          <t>risk_features / risk_model</t>
        </is>
      </c>
      <c r="K40" s="2" t="n">
        <v>0</v>
      </c>
      <c r="L40" s="2" t="n">
        <v>0</v>
      </c>
      <c r="M40" s="2" t="n">
        <v>1</v>
      </c>
      <c r="N40" s="2" t="inlineStr">
        <is>
          <t>risk model intent with possibly missing fields</t>
        </is>
      </c>
      <c r="O40" s="2" t="inlineStr">
        <is>
          <t>Generated from uploaded student SQLite schema / model feature schema</t>
        </is>
      </c>
      <c r="P40" s="2" t="inlineStr">
        <is>
          <t>Added for Decision Layer evaluation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 ht="72" customHeight="1">
      <c r="A41" s="3" t="inlineStr">
        <is>
          <t>D040</t>
        </is>
      </c>
      <c r="B41" s="3" t="inlineStr">
        <is>
          <t>generated_MODEL</t>
        </is>
      </c>
      <c r="C41" s="3" t="inlineStr"/>
      <c r="D41" s="3" t="inlineStr">
        <is>
          <t>طالبة نومها 5 ساعات، تستخدم السوشال ميديا 6 ساعات، دعم الأسرة 2، ضغط مالي 5، وضغط نفسي 5. هل تحتاج دعم؟</t>
        </is>
      </c>
      <c r="E41" s="3" t="inlineStr">
        <is>
          <t>يجب استخدام نموذج support لأنه يعتمد على عوامل نمط الحياة والدعم والضغط النفسي.</t>
        </is>
      </c>
      <c r="F41" s="3" t="inlineStr">
        <is>
          <t>medium</t>
        </is>
      </c>
      <c r="G41" s="3" t="inlineStr">
        <is>
          <t>MODEL_SUPPORT</t>
        </is>
      </c>
      <c r="H41" s="3" t="inlineStr">
        <is>
          <t>Support Model</t>
        </is>
      </c>
      <c r="I41" s="3" t="inlineStr"/>
      <c r="J41" s="3" t="inlineStr">
        <is>
          <t>support_features / support_model</t>
        </is>
      </c>
      <c r="K41" s="3" t="n">
        <v>0</v>
      </c>
      <c r="L41" s="3" t="n">
        <v>0</v>
      </c>
      <c r="M41" s="3" t="n">
        <v>1</v>
      </c>
      <c r="N41" s="3" t="inlineStr">
        <is>
          <t>support model feature vector</t>
        </is>
      </c>
      <c r="O41" s="3" t="inlineStr">
        <is>
          <t>Generated from uploaded student SQLite schema / model feature schema</t>
        </is>
      </c>
      <c r="P41" s="3" t="inlineStr">
        <is>
          <t>Added for Decision Layer evaluation</t>
        </is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 ht="72" customHeight="1">
      <c r="A42" s="2" t="inlineStr">
        <is>
          <t>D041</t>
        </is>
      </c>
      <c r="B42" s="2" t="inlineStr">
        <is>
          <t>generated_MODEL</t>
        </is>
      </c>
      <c r="C42" s="2" t="inlineStr"/>
      <c r="D42" s="2" t="inlineStr">
        <is>
          <t>قيّمي حاجة الدعم لطالبة: study_hours=8, social_media=5, sleep=6, exercise=1, family_support=2, financial_stress=4, peer_pressure=4, mental_stress=5, diet_quality=2, cognitive_distortions=4.</t>
        </is>
      </c>
      <c r="E42" s="2" t="inlineStr">
        <is>
          <t>المسار المتوقع هو MODEL_SUPPORT فقط لأنه تنبؤ مبني على خصائص support_features.</t>
        </is>
      </c>
      <c r="F42" s="2" t="inlineStr">
        <is>
          <t>medium</t>
        </is>
      </c>
      <c r="G42" s="2" t="inlineStr">
        <is>
          <t>MODEL_SUPPORT</t>
        </is>
      </c>
      <c r="H42" s="2" t="inlineStr">
        <is>
          <t>Support Model</t>
        </is>
      </c>
      <c r="I42" s="2" t="inlineStr"/>
      <c r="J42" s="2" t="inlineStr">
        <is>
          <t>support_features / support_model</t>
        </is>
      </c>
      <c r="K42" s="2" t="n">
        <v>0</v>
      </c>
      <c r="L42" s="2" t="n">
        <v>0</v>
      </c>
      <c r="M42" s="2" t="n">
        <v>1</v>
      </c>
      <c r="N42" s="2" t="inlineStr">
        <is>
          <t>support model prediction</t>
        </is>
      </c>
      <c r="O42" s="2" t="inlineStr">
        <is>
          <t>Generated from uploaded student SQLite schema / model feature schema</t>
        </is>
      </c>
      <c r="P42" s="2" t="inlineStr">
        <is>
          <t>Added for Decision Layer evaluation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 ht="72" customHeight="1">
      <c r="A43" s="3" t="inlineStr">
        <is>
          <t>D042</t>
        </is>
      </c>
      <c r="B43" s="3" t="inlineStr">
        <is>
          <t>generated_MODEL</t>
        </is>
      </c>
      <c r="C43" s="3" t="inlineStr"/>
      <c r="D43" s="3" t="inlineStr">
        <is>
          <t>طالبة عندها ضغط نفسي عالي وضغط مالي عالي ونوم قليل، هل تحتاج تدخل إرشادي؟</t>
        </is>
      </c>
      <c r="E43" s="3" t="inlineStr">
        <is>
          <t>المسار المتوقع MODEL_SUPPORT، لكن يجب طلب القيم الناقصة إذا كان النموذج يحتاج كل الخصائص الرقمية.</t>
        </is>
      </c>
      <c r="F43" s="3" t="inlineStr">
        <is>
          <t>hard</t>
        </is>
      </c>
      <c r="G43" s="3" t="inlineStr">
        <is>
          <t>MODEL_SUPPORT</t>
        </is>
      </c>
      <c r="H43" s="3" t="inlineStr">
        <is>
          <t>Support Model</t>
        </is>
      </c>
      <c r="I43" s="3" t="inlineStr"/>
      <c r="J43" s="3" t="inlineStr">
        <is>
          <t>support_features / support_model</t>
        </is>
      </c>
      <c r="K43" s="3" t="n">
        <v>0</v>
      </c>
      <c r="L43" s="3" t="n">
        <v>0</v>
      </c>
      <c r="M43" s="3" t="n">
        <v>1</v>
      </c>
      <c r="N43" s="3" t="inlineStr">
        <is>
          <t>support model with missing features</t>
        </is>
      </c>
      <c r="O43" s="3" t="inlineStr">
        <is>
          <t>Generated from uploaded student SQLite schema / model feature schema</t>
        </is>
      </c>
      <c r="P43" s="3" t="inlineStr">
        <is>
          <t>Added for Decision Layer evaluation</t>
        </is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 ht="72" customHeight="1">
      <c r="A44" s="2" t="inlineStr">
        <is>
          <t>D043</t>
        </is>
      </c>
      <c r="B44" s="2" t="inlineStr">
        <is>
          <t>generated_MODEL</t>
        </is>
      </c>
      <c r="C44" s="2" t="inlineStr"/>
      <c r="D44" s="2" t="inlineStr">
        <is>
          <t>هل طالبة تدرس 15 ساعة أسبوعياً وتنام 8 ساعات وتمارس الرياضة 4 ساعات ودعم الأسرة عندها 5 تحتاج دعم إضافي؟</t>
        </is>
      </c>
      <c r="E44" s="2" t="inlineStr">
        <is>
          <t>يجب استخدام support model، وقد يحتاج النظام إكمال باقي الخصائص قبل التنبؤ.</t>
        </is>
      </c>
      <c r="F44" s="2" t="inlineStr">
        <is>
          <t>medium</t>
        </is>
      </c>
      <c r="G44" s="2" t="inlineStr">
        <is>
          <t>MODEL_SUPPORT</t>
        </is>
      </c>
      <c r="H44" s="2" t="inlineStr">
        <is>
          <t>Support Model</t>
        </is>
      </c>
      <c r="I44" s="2" t="inlineStr"/>
      <c r="J44" s="2" t="inlineStr">
        <is>
          <t>support_features / support_model</t>
        </is>
      </c>
      <c r="K44" s="2" t="n">
        <v>0</v>
      </c>
      <c r="L44" s="2" t="n">
        <v>0</v>
      </c>
      <c r="M44" s="2" t="n">
        <v>1</v>
      </c>
      <c r="N44" s="2" t="inlineStr">
        <is>
          <t>support model partial feature extraction</t>
        </is>
      </c>
      <c r="O44" s="2" t="inlineStr">
        <is>
          <t>Generated from uploaded student SQLite schema / model feature schema</t>
        </is>
      </c>
      <c r="P44" s="2" t="inlineStr">
        <is>
          <t>Added for Decision Layer evaluation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 ht="72" customHeight="1">
      <c r="A45" s="3" t="inlineStr">
        <is>
          <t>D044</t>
        </is>
      </c>
      <c r="B45" s="3" t="inlineStr">
        <is>
          <t>generated_HYBRID</t>
        </is>
      </c>
      <c r="C45" s="3" t="inlineStr"/>
      <c r="D45" s="3" t="inlineStr">
        <is>
          <t>كم طالبة متوقع تخرجها وتحتاج فتح CEAI 495؟ وهل هذا يساعد في قرار الفتح الاستثنائي؟</t>
        </is>
      </c>
      <c r="E45" s="3" t="inlineStr">
        <is>
          <t>يجب دمج SQL لحساب الطالبات المتوقع تخرجهن/لم يأخذن CEAI 495 مع RAG لشرح منطق الفتح الاستثنائي أو السياسات المرتبطة.</t>
        </is>
      </c>
      <c r="F45" s="3" t="inlineStr">
        <is>
          <t>hard</t>
        </is>
      </c>
      <c r="G45" s="3" t="inlineStr">
        <is>
          <t>HYBRID_SQL_RAG</t>
        </is>
      </c>
      <c r="H45" s="3" t="inlineStr">
        <is>
          <t>SQL + RAG</t>
        </is>
      </c>
      <c r="I45" s="3" t="inlineStr">
        <is>
          <t>RAG</t>
        </is>
      </c>
      <c r="J45" s="3" t="inlineStr">
        <is>
          <t>students + student_courses + regulations/degree_plans</t>
        </is>
      </c>
      <c r="K45" s="3" t="n">
        <v>1</v>
      </c>
      <c r="L45" s="3" t="n">
        <v>1</v>
      </c>
      <c r="M45" s="3" t="n">
        <v>0</v>
      </c>
      <c r="N45" s="3" t="inlineStr">
        <is>
          <t>exceptional opening decision</t>
        </is>
      </c>
      <c r="O45" s="3" t="inlineStr">
        <is>
          <t>Generated from uploaded student SQLite schema / model feature schema</t>
        </is>
      </c>
      <c r="P45" s="3" t="inlineStr">
        <is>
          <t>Added for Decision Layer evaluation</t>
        </is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 ht="72" customHeight="1">
      <c r="A46" s="2" t="inlineStr">
        <is>
          <t>D045</t>
        </is>
      </c>
      <c r="B46" s="2" t="inlineStr">
        <is>
          <t>generated_HYBRID</t>
        </is>
      </c>
      <c r="C46" s="2" t="inlineStr"/>
      <c r="D46" s="2" t="inlineStr">
        <is>
          <t>قبل ما أنزل للطالبة مقرر CEAI 321، هل لازم أتحقق من المتطلب السابق ومن سجلها؟</t>
        </is>
      </c>
      <c r="E46" s="2" t="inlineStr">
        <is>
          <t>يجب استخدام SQL للتحقق من سجل الطالبة والمتطلبات من جدول courses/student_courses، مع RAG لشرح قاعدة المتطلبات أكاديمياً.</t>
        </is>
      </c>
      <c r="F46" s="2" t="inlineStr">
        <is>
          <t>hard</t>
        </is>
      </c>
      <c r="G46" s="2" t="inlineStr">
        <is>
          <t>HYBRID_SQL_RAG</t>
        </is>
      </c>
      <c r="H46" s="2" t="inlineStr">
        <is>
          <t>SQL + RAG</t>
        </is>
      </c>
      <c r="I46" s="2" t="inlineStr">
        <is>
          <t>RAG</t>
        </is>
      </c>
      <c r="J46" s="2" t="inlineStr">
        <is>
          <t>courses + student_courses + regulations/degree_plans</t>
        </is>
      </c>
      <c r="K46" s="2" t="n">
        <v>1</v>
      </c>
      <c r="L46" s="2" t="n">
        <v>1</v>
      </c>
      <c r="M46" s="2" t="n">
        <v>0</v>
      </c>
      <c r="N46" s="2" t="inlineStr">
        <is>
          <t>prerequisite advising</t>
        </is>
      </c>
      <c r="O46" s="2" t="inlineStr">
        <is>
          <t>Generated from uploaded student SQLite schema / model feature schema</t>
        </is>
      </c>
      <c r="P46" s="2" t="inlineStr">
        <is>
          <t>Added for Decision Layer evaluation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 ht="72" customHeight="1">
      <c r="A47" s="3" t="inlineStr">
        <is>
          <t>D046</t>
        </is>
      </c>
      <c r="B47" s="3" t="inlineStr">
        <is>
          <t>generated_HYBRID</t>
        </is>
      </c>
      <c r="C47" s="3" t="inlineStr"/>
      <c r="D47" s="3" t="inlineStr">
        <is>
          <t>أبغى أعرف الطالبات المتوقع تخرجهن والمواد المتبقية عليهن عشان أقرر الشعب المطلوبة.</t>
        </is>
      </c>
      <c r="E47" s="3" t="inlineStr">
        <is>
          <t>يجب استخدام SQL لاستخراج الطالبات والمواد غير المجتازة، مع RAG/KB لتفسير علاقة ذلك بالتخرج والخطة.</t>
        </is>
      </c>
      <c r="F47" s="3" t="inlineStr">
        <is>
          <t>hard</t>
        </is>
      </c>
      <c r="G47" s="3" t="inlineStr">
        <is>
          <t>HYBRID_SQL_RAG</t>
        </is>
      </c>
      <c r="H47" s="3" t="inlineStr">
        <is>
          <t>SQL + RAG</t>
        </is>
      </c>
      <c r="I47" s="3" t="inlineStr">
        <is>
          <t>RAG</t>
        </is>
      </c>
      <c r="J47" s="3" t="inlineStr">
        <is>
          <t>students + student_courses + degree_plans</t>
        </is>
      </c>
      <c r="K47" s="3" t="n">
        <v>1</v>
      </c>
      <c r="L47" s="3" t="n">
        <v>1</v>
      </c>
      <c r="M47" s="3" t="n">
        <v>0</v>
      </c>
      <c r="N47" s="3" t="inlineStr">
        <is>
          <t>graduation planning</t>
        </is>
      </c>
      <c r="O47" s="3" t="inlineStr">
        <is>
          <t>Generated from uploaded student SQLite schema / model feature schema</t>
        </is>
      </c>
      <c r="P47" s="3" t="inlineStr">
        <is>
          <t>Added for Decision Layer evaluation</t>
        </is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 ht="72" customHeight="1">
      <c r="A48" s="2" t="inlineStr">
        <is>
          <t>D047</t>
        </is>
      </c>
      <c r="B48" s="2" t="inlineStr">
        <is>
          <t>generated_HYBRID</t>
        </is>
      </c>
      <c r="C48" s="2" t="inlineStr"/>
      <c r="D48" s="2" t="inlineStr">
        <is>
          <t>إذا كانت طالبة تحتاج مقرر حر ومقرر اختياري، كيف أعرف من قاعدة البيانات ومن الخطة وش المفروض ينزل لها؟</t>
        </is>
      </c>
      <c r="E48" s="2" t="inlineStr">
        <is>
          <t>يجب دمج SQL لحالة الطالبة وسجل مقرراتها مع RAG من degree_plans/electives لتفسير المتطلبات الاختيارية والحرة.</t>
        </is>
      </c>
      <c r="F48" s="2" t="inlineStr">
        <is>
          <t>hard</t>
        </is>
      </c>
      <c r="G48" s="2" t="inlineStr">
        <is>
          <t>HYBRID_SQL_RAG</t>
        </is>
      </c>
      <c r="H48" s="2" t="inlineStr">
        <is>
          <t>SQL + RAG</t>
        </is>
      </c>
      <c r="I48" s="2" t="inlineStr">
        <is>
          <t>RAG</t>
        </is>
      </c>
      <c r="J48" s="2" t="inlineStr">
        <is>
          <t>student_courses + electives + degree_plans</t>
        </is>
      </c>
      <c r="K48" s="2" t="n">
        <v>1</v>
      </c>
      <c r="L48" s="2" t="n">
        <v>1</v>
      </c>
      <c r="M48" s="2" t="n">
        <v>0</v>
      </c>
      <c r="N48" s="2" t="inlineStr">
        <is>
          <t>course recommendation with plan rules</t>
        </is>
      </c>
      <c r="O48" s="2" t="inlineStr">
        <is>
          <t>Generated from uploaded student SQLite schema / model feature schema</t>
        </is>
      </c>
      <c r="P48" s="2" t="inlineStr">
        <is>
          <t>Added for Decision Layer evaluation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 ht="72" customHeight="1">
      <c r="A49" s="3" t="inlineStr">
        <is>
          <t>D048</t>
        </is>
      </c>
      <c r="B49" s="3" t="inlineStr">
        <is>
          <t>generated_HYBRID</t>
        </is>
      </c>
      <c r="C49" s="3" t="inlineStr"/>
      <c r="D49" s="3" t="inlineStr">
        <is>
          <t>كم طالبة لم تأخذ التدريب المهني CEAI 392؟ وهل التدريب له شروط في الخطة؟</t>
        </is>
      </c>
      <c r="E49" s="3" t="inlineStr">
        <is>
          <t>يجب استخدام SQL لحساب من لم يأخذ CEAI 392، وRAG لشرح شروط/وصف التدريب من الخطة أو قواعد التدريب.</t>
        </is>
      </c>
      <c r="F49" s="3" t="inlineStr">
        <is>
          <t>hard</t>
        </is>
      </c>
      <c r="G49" s="3" t="inlineStr">
        <is>
          <t>HYBRID_SQL_RAG</t>
        </is>
      </c>
      <c r="H49" s="3" t="inlineStr">
        <is>
          <t>SQL + RAG</t>
        </is>
      </c>
      <c r="I49" s="3" t="inlineStr">
        <is>
          <t>RAG</t>
        </is>
      </c>
      <c r="J49" s="3" t="inlineStr">
        <is>
          <t>student_courses + coop_replies/degree_plans</t>
        </is>
      </c>
      <c r="K49" s="3" t="n">
        <v>1</v>
      </c>
      <c r="L49" s="3" t="n">
        <v>1</v>
      </c>
      <c r="M49" s="3" t="n">
        <v>0</v>
      </c>
      <c r="N49" s="3" t="inlineStr">
        <is>
          <t>training eligibility</t>
        </is>
      </c>
      <c r="O49" s="3" t="inlineStr">
        <is>
          <t>Generated from uploaded student SQLite schema / model feature schema</t>
        </is>
      </c>
      <c r="P49" s="3" t="inlineStr">
        <is>
          <t>Added for Decision Layer evaluation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 ht="72" customHeight="1">
      <c r="A50" s="2" t="inlineStr">
        <is>
          <t>D049</t>
        </is>
      </c>
      <c r="B50" s="2" t="inlineStr">
        <is>
          <t>generated_HYBRID</t>
        </is>
      </c>
      <c r="C50" s="2" t="inlineStr"/>
      <c r="D50" s="2" t="inlineStr">
        <is>
          <t>الطالبة 2216908 عندها مؤشرات أداء منخفضة، اعرض بياناتها الأساسية وقيّم خطر التعثر.</t>
        </is>
      </c>
      <c r="E50" s="2" t="inlineStr">
        <is>
          <t>يجب استخدام SQL لجلب بيانات الطالبة ثم MODEL_RISK لتقييم الخطر من risk_features.</t>
        </is>
      </c>
      <c r="F50" s="2" t="inlineStr">
        <is>
          <t>hard</t>
        </is>
      </c>
      <c r="G50" s="2" t="inlineStr">
        <is>
          <t>HYBRID_SQL_MODEL</t>
        </is>
      </c>
      <c r="H50" s="2" t="inlineStr">
        <is>
          <t>SQL + Model</t>
        </is>
      </c>
      <c r="I50" s="2" t="inlineStr">
        <is>
          <t>Model</t>
        </is>
      </c>
      <c r="J50" s="2" t="inlineStr">
        <is>
          <t>students + risk_features / risk_model</t>
        </is>
      </c>
      <c r="K50" s="2" t="n">
        <v>0</v>
      </c>
      <c r="L50" s="2" t="n">
        <v>1</v>
      </c>
      <c r="M50" s="2" t="n">
        <v>1</v>
      </c>
      <c r="N50" s="2" t="inlineStr">
        <is>
          <t>student lookup + risk prediction</t>
        </is>
      </c>
      <c r="O50" s="2" t="inlineStr">
        <is>
          <t>Generated from uploaded student SQLite schema / model feature schema</t>
        </is>
      </c>
      <c r="P50" s="2" t="inlineStr">
        <is>
          <t>Added for Decision Layer evaluation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 ht="72" customHeight="1">
      <c r="A51" s="3" t="inlineStr">
        <is>
          <t>D050</t>
        </is>
      </c>
      <c r="B51" s="3" t="inlineStr">
        <is>
          <t>generated_HYBRID</t>
        </is>
      </c>
      <c r="C51" s="3" t="inlineStr"/>
      <c r="D51" s="3" t="inlineStr">
        <is>
          <t>أبغى تقرير مختصر عن الطالبة 2216909 يشمل مرشدتها وساعاتها وهل تحتاج دعم نفسي/أكاديمي.</t>
        </is>
      </c>
      <c r="E51" s="3" t="inlineStr">
        <is>
          <t>يجب استخدام SQL لجلب بيانات الطالبة ثم MODEL_SUPPORT وربما MODEL_RISK حسب المطلوب، ولا يحتاج RAG إلا إذا طلب سياسة.</t>
        </is>
      </c>
      <c r="F51" s="3" t="inlineStr">
        <is>
          <t>hard</t>
        </is>
      </c>
      <c r="G51" s="3" t="inlineStr">
        <is>
          <t>HYBRID_SQL_MODEL</t>
        </is>
      </c>
      <c r="H51" s="3" t="inlineStr">
        <is>
          <t>SQL + Model</t>
        </is>
      </c>
      <c r="I51" s="3" t="inlineStr">
        <is>
          <t>Model</t>
        </is>
      </c>
      <c r="J51" s="3" t="inlineStr">
        <is>
          <t>students + support_features + risk_features</t>
        </is>
      </c>
      <c r="K51" s="3" t="n">
        <v>0</v>
      </c>
      <c r="L51" s="3" t="n">
        <v>1</v>
      </c>
      <c r="M51" s="3" t="n">
        <v>1</v>
      </c>
      <c r="N51" s="3" t="inlineStr">
        <is>
          <t>student lookup + support/risk prediction</t>
        </is>
      </c>
      <c r="O51" s="3" t="inlineStr">
        <is>
          <t>Generated from uploaded student SQLite schema / model feature schema</t>
        </is>
      </c>
      <c r="P51" s="3" t="inlineStr">
        <is>
          <t>Added for Decision Layer evaluation</t>
        </is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</sheetData>
  <autoFilter ref="A1:W51"/>
  <conditionalFormatting sqref="G2:G51">
    <cfRule type="expression" priority="1" dxfId="0">
      <formula>$G2="RAG_ONLY"</formula>
    </cfRule>
    <cfRule type="expression" priority="2" dxfId="1">
      <formula>$G2="SQL_ONLY"</formula>
    </cfRule>
    <cfRule type="expression" priority="3" dxfId="2">
      <formula>LEFT($G2,5)="MODEL"</formula>
    </cfRule>
    <cfRule type="expression" priority="4" dxfId="3">
      <formula>LEFT($G2,6)="HYBRID"</formula>
    </cfRule>
  </conditionalFormatting>
  <conditionalFormatting sqref="U2:U51">
    <cfRule type="expression" priority="5" dxfId="4">
      <formula>$U2="correct"</formula>
    </cfRule>
    <cfRule type="expression" priority="6" dxfId="5">
      <formula>$U2="wrong"</formula>
    </cfRule>
  </conditionalFormatting>
  <dataValidations count="4">
    <dataValidation sqref="G2:G51 Q2:Q51" showDropDown="0" showInputMessage="0" showErrorMessage="0" allowBlank="1" type="list">
      <formula1>"RAG_ONLY,SQL_ONLY,MODEL_RISK,MODEL_SUPPORT,HYBRID_SQL_RAG,HYBRID_SQL_MODEL,UNKNOWN"</formula1>
    </dataValidation>
    <dataValidation sqref="K2:M51" showDropDown="0" showInputMessage="0" showErrorMessage="0" allowBlank="1" type="list">
      <formula1>"0,1"</formula1>
    </dataValidation>
    <dataValidation sqref="U2:U51" showDropDown="0" showInputMessage="0" showErrorMessage="0" allowBlank="1" type="list">
      <formula1>"correct,partial,wrong"</formula1>
    </dataValidation>
    <dataValidation sqref="W2:W51" showDropDown="0" showInputMessage="0" showErrorMessage="0" allowBlank="1" type="list">
      <formula1>"none,wrong_tool,under_retrieval,over_retrieval,wrong_source,bad_fusion,premature_refusal,missing_fields,other"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22" customWidth="1" min="4" max="4"/>
    <col width="22" customWidth="1" min="5" max="5"/>
  </cols>
  <sheetData>
    <row r="1">
      <c r="A1" s="4" t="inlineStr">
        <is>
          <t>Decision Evaluation Dataset</t>
        </is>
      </c>
      <c r="B1" s="5" t="inlineStr"/>
    </row>
    <row r="2">
      <c r="A2" s="6" t="inlineStr">
        <is>
          <t>Total questions</t>
        </is>
      </c>
      <c r="B2" s="6" t="n">
        <v>50</v>
      </c>
      <c r="D2" s="7" t="inlineStr">
        <is>
          <t>Fill after running system</t>
        </is>
      </c>
      <c r="E2" s="7" t="n"/>
    </row>
    <row r="3">
      <c r="A3" s="6" t="inlineStr">
        <is>
          <t>RAG sampled questions</t>
        </is>
      </c>
      <c r="B3" s="6" t="n">
        <v>25</v>
      </c>
      <c r="D3" s="7" t="inlineStr">
        <is>
          <t>Decision Accuracy</t>
        </is>
      </c>
      <c r="E3" s="7">
        <f>IFERROR(COUNTIF(Decision_Eval_50!U:U,"correct")/COUNTA(Decision_Eval_50!U:U),"")</f>
        <v/>
      </c>
    </row>
    <row r="4">
      <c r="A4" s="6" t="inlineStr">
        <is>
          <t>Generated SQL / model / hybrid questions</t>
        </is>
      </c>
      <c r="B4" s="6" t="n">
        <v>25</v>
      </c>
      <c r="D4" s="7" t="inlineStr">
        <is>
          <t>Wrong Decisions</t>
        </is>
      </c>
      <c r="E4" s="7">
        <f>COUNTIF(Decision_Eval_50!U:U,"wrong")</f>
        <v/>
      </c>
    </row>
    <row r="5">
      <c r="A5" s="6" t="inlineStr">
        <is>
          <t>Purpose</t>
        </is>
      </c>
      <c r="B5" s="6" t="inlineStr">
        <is>
          <t>Evaluate routing/orchestration decisions: when to use RAG, SQL, predictive models, or hybrid fusion.</t>
        </is>
      </c>
    </row>
    <row r="6">
      <c r="A6" s="6" t="inlineStr">
        <is>
          <t>Recommended metrics</t>
        </is>
      </c>
      <c r="B6" s="6" t="inlineStr">
        <is>
          <t>Decision accuracy, retrieval-decision accuracy, SQL-decision accuracy, model-decision accuracy, hybrid-fusion accuracy, refusal rate, answer correctness.</t>
        </is>
      </c>
    </row>
    <row r="7">
      <c r="A7" s="6" t="n"/>
      <c r="B7" s="6" t="n"/>
    </row>
    <row r="8">
      <c r="A8" s="6" t="inlineStr">
        <is>
          <t>Expected Mode</t>
        </is>
      </c>
      <c r="B8" s="6" t="inlineStr">
        <is>
          <t>Count</t>
        </is>
      </c>
    </row>
    <row r="9">
      <c r="A9" s="6" t="inlineStr">
        <is>
          <t>RAG_ONLY</t>
        </is>
      </c>
      <c r="B9" s="6" t="n">
        <v>25</v>
      </c>
    </row>
    <row r="10">
      <c r="A10" s="6" t="inlineStr">
        <is>
          <t>SQL_ONLY</t>
        </is>
      </c>
      <c r="B10" s="6" t="n">
        <v>10</v>
      </c>
    </row>
    <row r="11">
      <c r="A11" s="6" t="inlineStr">
        <is>
          <t>MODEL_RISK</t>
        </is>
      </c>
      <c r="B11" s="6" t="n">
        <v>4</v>
      </c>
    </row>
    <row r="12">
      <c r="A12" s="6" t="inlineStr">
        <is>
          <t>MODEL_SUPPORT</t>
        </is>
      </c>
      <c r="B12" s="6" t="n">
        <v>4</v>
      </c>
    </row>
    <row r="13">
      <c r="A13" s="6" t="inlineStr">
        <is>
          <t>HYBRID_SQL_RAG</t>
        </is>
      </c>
      <c r="B13" s="6" t="n">
        <v>5</v>
      </c>
    </row>
    <row r="14">
      <c r="A14" s="6" t="inlineStr">
        <is>
          <t>HYBRID_SQL_MODEL</t>
        </is>
      </c>
      <c r="B14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2026-04-30T02:16:46Z</dcterms:created>
  <dcterms:modified xmlns:dcterms="http://purl.org/dc/terms/" xmlns:xsi="http://www.w3.org/2001/XMLSchema-instance" xsi:type="dcterms:W3CDTF">2026-04-30T02:16:46Z</dcterms:modified>
</cp:coreProperties>
</file>